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Washif\Desktop\"/>
    </mc:Choice>
  </mc:AlternateContent>
  <xr:revisionPtr revIDLastSave="0" documentId="13_ncr:1_{F90BACFE-1A43-4DE1-A52E-09978ECE3A36}" xr6:coauthVersionLast="47" xr6:coauthVersionMax="47" xr10:uidLastSave="{00000000-0000-0000-0000-000000000000}"/>
  <bookViews>
    <workbookView xWindow="-120" yWindow="-120" windowWidth="20730" windowHeight="11040" activeTab="2" xr2:uid="{31E2AA81-FDAB-456C-AA73-5AA7ED0ABF10}"/>
  </bookViews>
  <sheets>
    <sheet name="bike_buyers" sheetId="2" r:id="rId1"/>
    <sheet name="Pivot Table" sheetId="1" r:id="rId2"/>
    <sheet name="Dashboard" sheetId="3" r:id="rId3"/>
  </sheets>
  <definedNames>
    <definedName name="ExternalData_1" localSheetId="0" hidden="1">bike_buyers!$A$1:$O$1001</definedName>
    <definedName name="Slicer_Gender">#N/A</definedName>
    <definedName name="Slicer_Income_Group">#N/A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03" i="2" l="1"/>
  <c r="E2" i="2"/>
  <c r="E284" i="2"/>
  <c r="E414" i="2"/>
  <c r="E3" i="2"/>
  <c r="E4" i="2"/>
  <c r="E897" i="2"/>
  <c r="E704" i="2"/>
  <c r="E5" i="2"/>
  <c r="E898" i="2"/>
  <c r="E6" i="2"/>
  <c r="E285" i="2"/>
  <c r="E899" i="2"/>
  <c r="E705" i="2"/>
  <c r="E415" i="2"/>
  <c r="E7" i="2"/>
  <c r="E8" i="2"/>
  <c r="E9" i="2"/>
  <c r="E706" i="2"/>
  <c r="E10" i="2"/>
  <c r="E707" i="2"/>
  <c r="E286" i="2"/>
  <c r="E708" i="2"/>
  <c r="E287" i="2"/>
  <c r="E709" i="2"/>
  <c r="E11" i="2"/>
  <c r="E12" i="2"/>
  <c r="E900" i="2"/>
  <c r="E416" i="2"/>
  <c r="E13" i="2"/>
  <c r="E14" i="2"/>
  <c r="E15" i="2"/>
  <c r="E16" i="2"/>
  <c r="E288" i="2"/>
  <c r="E289" i="2"/>
  <c r="E17" i="2"/>
  <c r="E18" i="2"/>
  <c r="E19" i="2"/>
  <c r="E20" i="2"/>
  <c r="E21" i="2"/>
  <c r="E22" i="2"/>
  <c r="E710" i="2"/>
  <c r="E23" i="2"/>
  <c r="E901" i="2"/>
  <c r="E24" i="2"/>
  <c r="E25" i="2"/>
  <c r="E417" i="2"/>
  <c r="E711" i="2"/>
  <c r="E26" i="2"/>
  <c r="E712" i="2"/>
  <c r="E27" i="2"/>
  <c r="E290" i="2"/>
  <c r="E28" i="2"/>
  <c r="E291" i="2"/>
  <c r="E418" i="2"/>
  <c r="E292" i="2"/>
  <c r="E713" i="2"/>
  <c r="E902" i="2"/>
  <c r="E714" i="2"/>
  <c r="E419" i="2"/>
  <c r="E29" i="2"/>
  <c r="E30" i="2"/>
  <c r="E715" i="2"/>
  <c r="E420" i="2"/>
  <c r="E31" i="2"/>
  <c r="E32" i="2"/>
  <c r="E716" i="2"/>
  <c r="E33" i="2"/>
  <c r="E34" i="2"/>
  <c r="E35" i="2"/>
  <c r="E903" i="2"/>
  <c r="E36" i="2"/>
  <c r="E904" i="2"/>
  <c r="E37" i="2"/>
  <c r="E38" i="2"/>
  <c r="E905" i="2"/>
  <c r="E39" i="2"/>
  <c r="E293" i="2"/>
  <c r="E294" i="2"/>
  <c r="E717" i="2"/>
  <c r="E40" i="2"/>
  <c r="E41" i="2"/>
  <c r="E42" i="2"/>
  <c r="E43" i="2"/>
  <c r="E718" i="2"/>
  <c r="E44" i="2"/>
  <c r="E906" i="2"/>
  <c r="E295" i="2"/>
  <c r="E45" i="2"/>
  <c r="E46" i="2"/>
  <c r="E47" i="2"/>
  <c r="E48" i="2"/>
  <c r="E421" i="2"/>
  <c r="E49" i="2"/>
  <c r="E50" i="2"/>
  <c r="E296" i="2"/>
  <c r="E51" i="2"/>
  <c r="E719" i="2"/>
  <c r="E720" i="2"/>
  <c r="E52" i="2"/>
  <c r="E53" i="2"/>
  <c r="E422" i="2"/>
  <c r="E54" i="2"/>
  <c r="E423" i="2"/>
  <c r="E424" i="2"/>
  <c r="E55" i="2"/>
  <c r="E425" i="2"/>
  <c r="E721" i="2"/>
  <c r="E722" i="2"/>
  <c r="E723" i="2"/>
  <c r="E56" i="2"/>
  <c r="E426" i="2"/>
  <c r="E724" i="2"/>
  <c r="E907" i="2"/>
  <c r="E57" i="2"/>
  <c r="E58" i="2"/>
  <c r="E59" i="2"/>
  <c r="E60" i="2"/>
  <c r="E297" i="2"/>
  <c r="E61" i="2"/>
  <c r="E725" i="2"/>
  <c r="E908" i="2"/>
  <c r="E298" i="2"/>
  <c r="E909" i="2"/>
  <c r="E726" i="2"/>
  <c r="E299" i="2"/>
  <c r="E62" i="2"/>
  <c r="E63" i="2"/>
  <c r="E64" i="2"/>
  <c r="E65" i="2"/>
  <c r="E427" i="2"/>
  <c r="E300" i="2"/>
  <c r="E727" i="2"/>
  <c r="E728" i="2"/>
  <c r="E66" i="2"/>
  <c r="E67" i="2"/>
  <c r="E68" i="2"/>
  <c r="E69" i="2"/>
  <c r="E70" i="2"/>
  <c r="E71" i="2"/>
  <c r="E729" i="2"/>
  <c r="E72" i="2"/>
  <c r="E730" i="2"/>
  <c r="E301" i="2"/>
  <c r="E73" i="2"/>
  <c r="E731" i="2"/>
  <c r="E732" i="2"/>
  <c r="E733" i="2"/>
  <c r="E74" i="2"/>
  <c r="E75" i="2"/>
  <c r="E428" i="2"/>
  <c r="E910" i="2"/>
  <c r="E76" i="2"/>
  <c r="E911" i="2"/>
  <c r="E302" i="2"/>
  <c r="E77" i="2"/>
  <c r="E912" i="2"/>
  <c r="E78" i="2"/>
  <c r="E79" i="2"/>
  <c r="E80" i="2"/>
  <c r="E429" i="2"/>
  <c r="E81" i="2"/>
  <c r="E430" i="2"/>
  <c r="E734" i="2"/>
  <c r="E82" i="2"/>
  <c r="E83" i="2"/>
  <c r="E303" i="2"/>
  <c r="E913" i="2"/>
  <c r="E431" i="2"/>
  <c r="E84" i="2"/>
  <c r="E914" i="2"/>
  <c r="E304" i="2"/>
  <c r="E85" i="2"/>
  <c r="E86" i="2"/>
  <c r="E735" i="2"/>
  <c r="E305" i="2"/>
  <c r="E87" i="2"/>
  <c r="E915" i="2"/>
  <c r="E916" i="2"/>
  <c r="E88" i="2"/>
  <c r="E89" i="2"/>
  <c r="E90" i="2"/>
  <c r="E91" i="2"/>
  <c r="E736" i="2"/>
  <c r="E917" i="2"/>
  <c r="E306" i="2"/>
  <c r="E92" i="2"/>
  <c r="E307" i="2"/>
  <c r="E432" i="2"/>
  <c r="E93" i="2"/>
  <c r="E94" i="2"/>
  <c r="E308" i="2"/>
  <c r="E309" i="2"/>
  <c r="E433" i="2"/>
  <c r="E95" i="2"/>
  <c r="E96" i="2"/>
  <c r="E737" i="2"/>
  <c r="E434" i="2"/>
  <c r="E918" i="2"/>
  <c r="E310" i="2"/>
  <c r="E435" i="2"/>
  <c r="E97" i="2"/>
  <c r="E738" i="2"/>
  <c r="E436" i="2"/>
  <c r="E311" i="2"/>
  <c r="E98" i="2"/>
  <c r="E312" i="2"/>
  <c r="E99" i="2"/>
  <c r="E739" i="2"/>
  <c r="E100" i="2"/>
  <c r="E313" i="2"/>
  <c r="E740" i="2"/>
  <c r="E101" i="2"/>
  <c r="E437" i="2"/>
  <c r="E102" i="2"/>
  <c r="E314" i="2"/>
  <c r="E103" i="2"/>
  <c r="E104" i="2"/>
  <c r="E105" i="2"/>
  <c r="E106" i="2"/>
  <c r="E438" i="2"/>
  <c r="E107" i="2"/>
  <c r="E108" i="2"/>
  <c r="E439" i="2"/>
  <c r="E109" i="2"/>
  <c r="E110" i="2"/>
  <c r="E111" i="2"/>
  <c r="E112" i="2"/>
  <c r="E113" i="2"/>
  <c r="E315" i="2"/>
  <c r="E919" i="2"/>
  <c r="E741" i="2"/>
  <c r="E114" i="2"/>
  <c r="E115" i="2"/>
  <c r="E316" i="2"/>
  <c r="E116" i="2"/>
  <c r="E117" i="2"/>
  <c r="E118" i="2"/>
  <c r="E440" i="2"/>
  <c r="E119" i="2"/>
  <c r="E120" i="2"/>
  <c r="E121" i="2"/>
  <c r="E122" i="2"/>
  <c r="E123" i="2"/>
  <c r="E920" i="2"/>
  <c r="E921" i="2"/>
  <c r="E922" i="2"/>
  <c r="E923" i="2"/>
  <c r="E124" i="2"/>
  <c r="E441" i="2"/>
  <c r="E924" i="2"/>
  <c r="E925" i="2"/>
  <c r="E442" i="2"/>
  <c r="E926" i="2"/>
  <c r="E125" i="2"/>
  <c r="E126" i="2"/>
  <c r="E127" i="2"/>
  <c r="E742" i="2"/>
  <c r="E927" i="2"/>
  <c r="E928" i="2"/>
  <c r="E128" i="2"/>
  <c r="E743" i="2"/>
  <c r="E129" i="2"/>
  <c r="E443" i="2"/>
  <c r="E744" i="2"/>
  <c r="E130" i="2"/>
  <c r="E131" i="2"/>
  <c r="E929" i="2"/>
  <c r="E444" i="2"/>
  <c r="E745" i="2"/>
  <c r="E132" i="2"/>
  <c r="E133" i="2"/>
  <c r="E134" i="2"/>
  <c r="E135" i="2"/>
  <c r="E136" i="2"/>
  <c r="E317" i="2"/>
  <c r="E137" i="2"/>
  <c r="E138" i="2"/>
  <c r="E930" i="2"/>
  <c r="E139" i="2"/>
  <c r="E140" i="2"/>
  <c r="E141" i="2"/>
  <c r="E142" i="2"/>
  <c r="E445" i="2"/>
  <c r="E143" i="2"/>
  <c r="E446" i="2"/>
  <c r="E931" i="2"/>
  <c r="E144" i="2"/>
  <c r="E932" i="2"/>
  <c r="E145" i="2"/>
  <c r="E447" i="2"/>
  <c r="E746" i="2"/>
  <c r="E747" i="2"/>
  <c r="E146" i="2"/>
  <c r="E147" i="2"/>
  <c r="E933" i="2"/>
  <c r="E448" i="2"/>
  <c r="E934" i="2"/>
  <c r="E318" i="2"/>
  <c r="E148" i="2"/>
  <c r="E149" i="2"/>
  <c r="E748" i="2"/>
  <c r="E150" i="2"/>
  <c r="E151" i="2"/>
  <c r="E319" i="2"/>
  <c r="E152" i="2"/>
  <c r="E320" i="2"/>
  <c r="E153" i="2"/>
  <c r="E749" i="2"/>
  <c r="E154" i="2"/>
  <c r="E935" i="2"/>
  <c r="E449" i="2"/>
  <c r="E155" i="2"/>
  <c r="E750" i="2"/>
  <c r="E321" i="2"/>
  <c r="E450" i="2"/>
  <c r="E751" i="2"/>
  <c r="E156" i="2"/>
  <c r="E936" i="2"/>
  <c r="E157" i="2"/>
  <c r="E937" i="2"/>
  <c r="E938" i="2"/>
  <c r="E158" i="2"/>
  <c r="E752" i="2"/>
  <c r="E322" i="2"/>
  <c r="E753" i="2"/>
  <c r="E159" i="2"/>
  <c r="E160" i="2"/>
  <c r="E754" i="2"/>
  <c r="E323" i="2"/>
  <c r="E324" i="2"/>
  <c r="E161" i="2"/>
  <c r="E162" i="2"/>
  <c r="E939" i="2"/>
  <c r="E325" i="2"/>
  <c r="E326" i="2"/>
  <c r="E163" i="2"/>
  <c r="E164" i="2"/>
  <c r="E940" i="2"/>
  <c r="E165" i="2"/>
  <c r="E166" i="2"/>
  <c r="E167" i="2"/>
  <c r="E168" i="2"/>
  <c r="E169" i="2"/>
  <c r="E170" i="2"/>
  <c r="E171" i="2"/>
  <c r="E755" i="2"/>
  <c r="E451" i="2"/>
  <c r="E172" i="2"/>
  <c r="E173" i="2"/>
  <c r="E174" i="2"/>
  <c r="E175" i="2"/>
  <c r="E327" i="2"/>
  <c r="E756" i="2"/>
  <c r="E176" i="2"/>
  <c r="E328" i="2"/>
  <c r="E941" i="2"/>
  <c r="E177" i="2"/>
  <c r="E329" i="2"/>
  <c r="E330" i="2"/>
  <c r="E942" i="2"/>
  <c r="E178" i="2"/>
  <c r="E757" i="2"/>
  <c r="E758" i="2"/>
  <c r="E179" i="2"/>
  <c r="E759" i="2"/>
  <c r="E452" i="2"/>
  <c r="E943" i="2"/>
  <c r="E180" i="2"/>
  <c r="E181" i="2"/>
  <c r="E944" i="2"/>
  <c r="E331" i="2"/>
  <c r="E760" i="2"/>
  <c r="E182" i="2"/>
  <c r="E332" i="2"/>
  <c r="E761" i="2"/>
  <c r="E183" i="2"/>
  <c r="E945" i="2"/>
  <c r="E184" i="2"/>
  <c r="E453" i="2"/>
  <c r="E454" i="2"/>
  <c r="E185" i="2"/>
  <c r="E333" i="2"/>
  <c r="E762" i="2"/>
  <c r="E186" i="2"/>
  <c r="E187" i="2"/>
  <c r="E946" i="2"/>
  <c r="E188" i="2"/>
  <c r="E189" i="2"/>
  <c r="E334" i="2"/>
  <c r="E455" i="2"/>
  <c r="E456" i="2"/>
  <c r="E190" i="2"/>
  <c r="E191" i="2"/>
  <c r="E763" i="2"/>
  <c r="E192" i="2"/>
  <c r="E457" i="2"/>
  <c r="E193" i="2"/>
  <c r="E194" i="2"/>
  <c r="E764" i="2"/>
  <c r="E947" i="2"/>
  <c r="E765" i="2"/>
  <c r="E195" i="2"/>
  <c r="E196" i="2"/>
  <c r="E197" i="2"/>
  <c r="E198" i="2"/>
  <c r="E766" i="2"/>
  <c r="E335" i="2"/>
  <c r="E767" i="2"/>
  <c r="E948" i="2"/>
  <c r="E199" i="2"/>
  <c r="E458" i="2"/>
  <c r="E768" i="2"/>
  <c r="E200" i="2"/>
  <c r="E769" i="2"/>
  <c r="E336" i="2"/>
  <c r="E459" i="2"/>
  <c r="E201" i="2"/>
  <c r="E202" i="2"/>
  <c r="E203" i="2"/>
  <c r="E949" i="2"/>
  <c r="E204" i="2"/>
  <c r="E950" i="2"/>
  <c r="E205" i="2"/>
  <c r="E206" i="2"/>
  <c r="E770" i="2"/>
  <c r="E207" i="2"/>
  <c r="E337" i="2"/>
  <c r="E951" i="2"/>
  <c r="E208" i="2"/>
  <c r="E209" i="2"/>
  <c r="E210" i="2"/>
  <c r="E952" i="2"/>
  <c r="E211" i="2"/>
  <c r="E212" i="2"/>
  <c r="E213" i="2"/>
  <c r="E338" i="2"/>
  <c r="E214" i="2"/>
  <c r="E339" i="2"/>
  <c r="E460" i="2"/>
  <c r="E340" i="2"/>
  <c r="E461" i="2"/>
  <c r="E341" i="2"/>
  <c r="E771" i="2"/>
  <c r="E215" i="2"/>
  <c r="E772" i="2"/>
  <c r="E953" i="2"/>
  <c r="E773" i="2"/>
  <c r="E216" i="2"/>
  <c r="E774" i="2"/>
  <c r="E217" i="2"/>
  <c r="E775" i="2"/>
  <c r="E218" i="2"/>
  <c r="E462" i="2"/>
  <c r="E219" i="2"/>
  <c r="E342" i="2"/>
  <c r="E954" i="2"/>
  <c r="E220" i="2"/>
  <c r="E955" i="2"/>
  <c r="E343" i="2"/>
  <c r="E221" i="2"/>
  <c r="E956" i="2"/>
  <c r="E776" i="2"/>
  <c r="E222" i="2"/>
  <c r="E223" i="2"/>
  <c r="E777" i="2"/>
  <c r="E224" i="2"/>
  <c r="E957" i="2"/>
  <c r="E344" i="2"/>
  <c r="E225" i="2"/>
  <c r="E226" i="2"/>
  <c r="E463" i="2"/>
  <c r="E778" i="2"/>
  <c r="E227" i="2"/>
  <c r="E345" i="2"/>
  <c r="E228" i="2"/>
  <c r="E464" i="2"/>
  <c r="E465" i="2"/>
  <c r="E229" i="2"/>
  <c r="E779" i="2"/>
  <c r="E346" i="2"/>
  <c r="E780" i="2"/>
  <c r="E781" i="2"/>
  <c r="E230" i="2"/>
  <c r="E231" i="2"/>
  <c r="E232" i="2"/>
  <c r="E347" i="2"/>
  <c r="E782" i="2"/>
  <c r="E233" i="2"/>
  <c r="E234" i="2"/>
  <c r="E466" i="2"/>
  <c r="E467" i="2"/>
  <c r="E783" i="2"/>
  <c r="E468" i="2"/>
  <c r="E469" i="2"/>
  <c r="E470" i="2"/>
  <c r="E471" i="2"/>
  <c r="E472" i="2"/>
  <c r="E348" i="2"/>
  <c r="E784" i="2"/>
  <c r="E473" i="2"/>
  <c r="E785" i="2"/>
  <c r="E786" i="2"/>
  <c r="E958" i="2"/>
  <c r="E474" i="2"/>
  <c r="E959" i="2"/>
  <c r="E475" i="2"/>
  <c r="E787" i="2"/>
  <c r="E476" i="2"/>
  <c r="E349" i="2"/>
  <c r="E477" i="2"/>
  <c r="E350" i="2"/>
  <c r="E478" i="2"/>
  <c r="E479" i="2"/>
  <c r="E788" i="2"/>
  <c r="E480" i="2"/>
  <c r="E481" i="2"/>
  <c r="E482" i="2"/>
  <c r="E351" i="2"/>
  <c r="E352" i="2"/>
  <c r="E960" i="2"/>
  <c r="E789" i="2"/>
  <c r="E483" i="2"/>
  <c r="E353" i="2"/>
  <c r="E354" i="2"/>
  <c r="E484" i="2"/>
  <c r="E961" i="2"/>
  <c r="E790" i="2"/>
  <c r="E235" i="2"/>
  <c r="E485" i="2"/>
  <c r="E486" i="2"/>
  <c r="E236" i="2"/>
  <c r="E487" i="2"/>
  <c r="E488" i="2"/>
  <c r="E791" i="2"/>
  <c r="E792" i="2"/>
  <c r="E355" i="2"/>
  <c r="E793" i="2"/>
  <c r="E356" i="2"/>
  <c r="E489" i="2"/>
  <c r="E490" i="2"/>
  <c r="E794" i="2"/>
  <c r="E795" i="2"/>
  <c r="E491" i="2"/>
  <c r="E962" i="2"/>
  <c r="E492" i="2"/>
  <c r="E493" i="2"/>
  <c r="E494" i="2"/>
  <c r="E357" i="2"/>
  <c r="E963" i="2"/>
  <c r="E495" i="2"/>
  <c r="E796" i="2"/>
  <c r="E496" i="2"/>
  <c r="E797" i="2"/>
  <c r="E497" i="2"/>
  <c r="E798" i="2"/>
  <c r="E358" i="2"/>
  <c r="E799" i="2"/>
  <c r="E800" i="2"/>
  <c r="E498" i="2"/>
  <c r="E499" i="2"/>
  <c r="E237" i="2"/>
  <c r="E500" i="2"/>
  <c r="E238" i="2"/>
  <c r="E239" i="2"/>
  <c r="E801" i="2"/>
  <c r="E501" i="2"/>
  <c r="E802" i="2"/>
  <c r="E502" i="2"/>
  <c r="E803" i="2"/>
  <c r="E503" i="2"/>
  <c r="E804" i="2"/>
  <c r="E240" i="2"/>
  <c r="E504" i="2"/>
  <c r="E359" i="2"/>
  <c r="E505" i="2"/>
  <c r="E805" i="2"/>
  <c r="E964" i="2"/>
  <c r="E506" i="2"/>
  <c r="E806" i="2"/>
  <c r="E507" i="2"/>
  <c r="E807" i="2"/>
  <c r="E360" i="2"/>
  <c r="E508" i="2"/>
  <c r="E509" i="2"/>
  <c r="E965" i="2"/>
  <c r="E510" i="2"/>
  <c r="E966" i="2"/>
  <c r="E361" i="2"/>
  <c r="E511" i="2"/>
  <c r="E512" i="2"/>
  <c r="E808" i="2"/>
  <c r="E362" i="2"/>
  <c r="E513" i="2"/>
  <c r="E363" i="2"/>
  <c r="E241" i="2"/>
  <c r="E364" i="2"/>
  <c r="E809" i="2"/>
  <c r="E967" i="2"/>
  <c r="E514" i="2"/>
  <c r="E242" i="2"/>
  <c r="E365" i="2"/>
  <c r="E515" i="2"/>
  <c r="E516" i="2"/>
  <c r="E810" i="2"/>
  <c r="E517" i="2"/>
  <c r="E811" i="2"/>
  <c r="E518" i="2"/>
  <c r="E519" i="2"/>
  <c r="E520" i="2"/>
  <c r="E521" i="2"/>
  <c r="E366" i="2"/>
  <c r="E243" i="2"/>
  <c r="E968" i="2"/>
  <c r="E969" i="2"/>
  <c r="E522" i="2"/>
  <c r="E367" i="2"/>
  <c r="E812" i="2"/>
  <c r="E244" i="2"/>
  <c r="E813" i="2"/>
  <c r="E970" i="2"/>
  <c r="E523" i="2"/>
  <c r="E524" i="2"/>
  <c r="E525" i="2"/>
  <c r="E526" i="2"/>
  <c r="E527" i="2"/>
  <c r="E528" i="2"/>
  <c r="E529" i="2"/>
  <c r="E368" i="2"/>
  <c r="E814" i="2"/>
  <c r="E815" i="2"/>
  <c r="E530" i="2"/>
  <c r="E369" i="2"/>
  <c r="E971" i="2"/>
  <c r="E531" i="2"/>
  <c r="E245" i="2"/>
  <c r="E972" i="2"/>
  <c r="E816" i="2"/>
  <c r="E532" i="2"/>
  <c r="E973" i="2"/>
  <c r="E533" i="2"/>
  <c r="E817" i="2"/>
  <c r="E534" i="2"/>
  <c r="E535" i="2"/>
  <c r="E536" i="2"/>
  <c r="E537" i="2"/>
  <c r="E538" i="2"/>
  <c r="E818" i="2"/>
  <c r="E539" i="2"/>
  <c r="E540" i="2"/>
  <c r="E541" i="2"/>
  <c r="E542" i="2"/>
  <c r="E543" i="2"/>
  <c r="E246" i="2"/>
  <c r="E819" i="2"/>
  <c r="E820" i="2"/>
  <c r="E544" i="2"/>
  <c r="E545" i="2"/>
  <c r="E821" i="2"/>
  <c r="E546" i="2"/>
  <c r="E547" i="2"/>
  <c r="E822" i="2"/>
  <c r="E974" i="2"/>
  <c r="E548" i="2"/>
  <c r="E370" i="2"/>
  <c r="E975" i="2"/>
  <c r="E549" i="2"/>
  <c r="E823" i="2"/>
  <c r="E550" i="2"/>
  <c r="E551" i="2"/>
  <c r="E552" i="2"/>
  <c r="E553" i="2"/>
  <c r="E824" i="2"/>
  <c r="E554" i="2"/>
  <c r="E247" i="2"/>
  <c r="E976" i="2"/>
  <c r="E825" i="2"/>
  <c r="E555" i="2"/>
  <c r="E371" i="2"/>
  <c r="E556" i="2"/>
  <c r="E557" i="2"/>
  <c r="E372" i="2"/>
  <c r="E248" i="2"/>
  <c r="E373" i="2"/>
  <c r="E558" i="2"/>
  <c r="E559" i="2"/>
  <c r="E826" i="2"/>
  <c r="E249" i="2"/>
  <c r="E560" i="2"/>
  <c r="E250" i="2"/>
  <c r="E977" i="2"/>
  <c r="E827" i="2"/>
  <c r="E561" i="2"/>
  <c r="E562" i="2"/>
  <c r="E374" i="2"/>
  <c r="E375" i="2"/>
  <c r="E563" i="2"/>
  <c r="E251" i="2"/>
  <c r="E252" i="2"/>
  <c r="E376" i="2"/>
  <c r="E564" i="2"/>
  <c r="E253" i="2"/>
  <c r="E978" i="2"/>
  <c r="E828" i="2"/>
  <c r="E829" i="2"/>
  <c r="E565" i="2"/>
  <c r="E566" i="2"/>
  <c r="E567" i="2"/>
  <c r="E568" i="2"/>
  <c r="E569" i="2"/>
  <c r="E570" i="2"/>
  <c r="E571" i="2"/>
  <c r="E830" i="2"/>
  <c r="E572" i="2"/>
  <c r="E831" i="2"/>
  <c r="E573" i="2"/>
  <c r="E377" i="2"/>
  <c r="E378" i="2"/>
  <c r="E574" i="2"/>
  <c r="E575" i="2"/>
  <c r="E832" i="2"/>
  <c r="E979" i="2"/>
  <c r="E576" i="2"/>
  <c r="E379" i="2"/>
  <c r="E254" i="2"/>
  <c r="E980" i="2"/>
  <c r="E255" i="2"/>
  <c r="E577" i="2"/>
  <c r="E833" i="2"/>
  <c r="E578" i="2"/>
  <c r="E579" i="2"/>
  <c r="E580" i="2"/>
  <c r="E581" i="2"/>
  <c r="E981" i="2"/>
  <c r="E982" i="2"/>
  <c r="E256" i="2"/>
  <c r="E834" i="2"/>
  <c r="E582" i="2"/>
  <c r="E835" i="2"/>
  <c r="E583" i="2"/>
  <c r="E836" i="2"/>
  <c r="E837" i="2"/>
  <c r="E257" i="2"/>
  <c r="E983" i="2"/>
  <c r="E584" i="2"/>
  <c r="E585" i="2"/>
  <c r="E586" i="2"/>
  <c r="E587" i="2"/>
  <c r="E984" i="2"/>
  <c r="E588" i="2"/>
  <c r="E258" i="2"/>
  <c r="E589" i="2"/>
  <c r="E590" i="2"/>
  <c r="E838" i="2"/>
  <c r="E839" i="2"/>
  <c r="E591" i="2"/>
  <c r="E840" i="2"/>
  <c r="E259" i="2"/>
  <c r="E380" i="2"/>
  <c r="E592" i="2"/>
  <c r="E260" i="2"/>
  <c r="E593" i="2"/>
  <c r="E841" i="2"/>
  <c r="E842" i="2"/>
  <c r="E594" i="2"/>
  <c r="E595" i="2"/>
  <c r="E843" i="2"/>
  <c r="E596" i="2"/>
  <c r="E985" i="2"/>
  <c r="E986" i="2"/>
  <c r="E597" i="2"/>
  <c r="E381" i="2"/>
  <c r="E598" i="2"/>
  <c r="E599" i="2"/>
  <c r="E382" i="2"/>
  <c r="E600" i="2"/>
  <c r="E601" i="2"/>
  <c r="E844" i="2"/>
  <c r="E383" i="2"/>
  <c r="E384" i="2"/>
  <c r="E602" i="2"/>
  <c r="E385" i="2"/>
  <c r="E603" i="2"/>
  <c r="E604" i="2"/>
  <c r="E261" i="2"/>
  <c r="E845" i="2"/>
  <c r="E846" i="2"/>
  <c r="E605" i="2"/>
  <c r="E262" i="2"/>
  <c r="E606" i="2"/>
  <c r="E386" i="2"/>
  <c r="E847" i="2"/>
  <c r="E263" i="2"/>
  <c r="E264" i="2"/>
  <c r="E848" i="2"/>
  <c r="E607" i="2"/>
  <c r="E608" i="2"/>
  <c r="E609" i="2"/>
  <c r="E265" i="2"/>
  <c r="E849" i="2"/>
  <c r="E610" i="2"/>
  <c r="E611" i="2"/>
  <c r="E850" i="2"/>
  <c r="E851" i="2"/>
  <c r="E852" i="2"/>
  <c r="E853" i="2"/>
  <c r="E266" i="2"/>
  <c r="E612" i="2"/>
  <c r="E267" i="2"/>
  <c r="E854" i="2"/>
  <c r="E613" i="2"/>
  <c r="E614" i="2"/>
  <c r="E615" i="2"/>
  <c r="E616" i="2"/>
  <c r="E617" i="2"/>
  <c r="E855" i="2"/>
  <c r="E618" i="2"/>
  <c r="E619" i="2"/>
  <c r="E856" i="2"/>
  <c r="E857" i="2"/>
  <c r="E987" i="2"/>
  <c r="E620" i="2"/>
  <c r="E268" i="2"/>
  <c r="E621" i="2"/>
  <c r="E988" i="2"/>
  <c r="E622" i="2"/>
  <c r="E623" i="2"/>
  <c r="E387" i="2"/>
  <c r="E858" i="2"/>
  <c r="E989" i="2"/>
  <c r="E624" i="2"/>
  <c r="E625" i="2"/>
  <c r="E626" i="2"/>
  <c r="E627" i="2"/>
  <c r="E628" i="2"/>
  <c r="E629" i="2"/>
  <c r="E859" i="2"/>
  <c r="E630" i="2"/>
  <c r="E388" i="2"/>
  <c r="E389" i="2"/>
  <c r="E631" i="2"/>
  <c r="E990" i="2"/>
  <c r="E632" i="2"/>
  <c r="E390" i="2"/>
  <c r="E860" i="2"/>
  <c r="E269" i="2"/>
  <c r="E633" i="2"/>
  <c r="E861" i="2"/>
  <c r="E991" i="2"/>
  <c r="E862" i="2"/>
  <c r="E992" i="2"/>
  <c r="E634" i="2"/>
  <c r="E863" i="2"/>
  <c r="E635" i="2"/>
  <c r="E636" i="2"/>
  <c r="E270" i="2"/>
  <c r="E864" i="2"/>
  <c r="E637" i="2"/>
  <c r="E865" i="2"/>
  <c r="E271" i="2"/>
  <c r="E272" i="2"/>
  <c r="E273" i="2"/>
  <c r="E866" i="2"/>
  <c r="E391" i="2"/>
  <c r="E867" i="2"/>
  <c r="E392" i="2"/>
  <c r="E638" i="2"/>
  <c r="E639" i="2"/>
  <c r="E274" i="2"/>
  <c r="E993" i="2"/>
  <c r="E640" i="2"/>
  <c r="E641" i="2"/>
  <c r="E642" i="2"/>
  <c r="E868" i="2"/>
  <c r="E275" i="2"/>
  <c r="E643" i="2"/>
  <c r="E276" i="2"/>
  <c r="E644" i="2"/>
  <c r="E869" i="2"/>
  <c r="E393" i="2"/>
  <c r="E394" i="2"/>
  <c r="E395" i="2"/>
  <c r="E277" i="2"/>
  <c r="E645" i="2"/>
  <c r="E396" i="2"/>
  <c r="E278" i="2"/>
  <c r="E646" i="2"/>
  <c r="E870" i="2"/>
  <c r="E647" i="2"/>
  <c r="E648" i="2"/>
  <c r="E871" i="2"/>
  <c r="E994" i="2"/>
  <c r="E649" i="2"/>
  <c r="E650" i="2"/>
  <c r="E651" i="2"/>
  <c r="E872" i="2"/>
  <c r="E873" i="2"/>
  <c r="E279" i="2"/>
  <c r="E652" i="2"/>
  <c r="E653" i="2"/>
  <c r="E874" i="2"/>
  <c r="E654" i="2"/>
  <c r="E397" i="2"/>
  <c r="E398" i="2"/>
  <c r="E655" i="2"/>
  <c r="E399" i="2"/>
  <c r="E656" i="2"/>
  <c r="E875" i="2"/>
  <c r="E876" i="2"/>
  <c r="E657" i="2"/>
  <c r="E877" i="2"/>
  <c r="E400" i="2"/>
  <c r="E878" i="2"/>
  <c r="E658" i="2"/>
  <c r="E401" i="2"/>
  <c r="E659" i="2"/>
  <c r="E660" i="2"/>
  <c r="E995" i="2"/>
  <c r="E661" i="2"/>
  <c r="E879" i="2"/>
  <c r="E280" i="2"/>
  <c r="E662" i="2"/>
  <c r="E880" i="2"/>
  <c r="E663" i="2"/>
  <c r="E402" i="2"/>
  <c r="E881" i="2"/>
  <c r="E882" i="2"/>
  <c r="E664" i="2"/>
  <c r="E665" i="2"/>
  <c r="E666" i="2"/>
  <c r="E667" i="2"/>
  <c r="E883" i="2"/>
  <c r="E884" i="2"/>
  <c r="E668" i="2"/>
  <c r="E669" i="2"/>
  <c r="E670" i="2"/>
  <c r="E671" i="2"/>
  <c r="E672" i="2"/>
  <c r="E885" i="2"/>
  <c r="E403" i="2"/>
  <c r="E673" i="2"/>
  <c r="E674" i="2"/>
  <c r="E886" i="2"/>
  <c r="E675" i="2"/>
  <c r="E887" i="2"/>
  <c r="E888" i="2"/>
  <c r="E404" i="2"/>
  <c r="E405" i="2"/>
  <c r="E676" i="2"/>
  <c r="E677" i="2"/>
  <c r="E678" i="2"/>
  <c r="E679" i="2"/>
  <c r="E680" i="2"/>
  <c r="E889" i="2"/>
  <c r="E681" i="2"/>
  <c r="E890" i="2"/>
  <c r="E682" i="2"/>
  <c r="E683" i="2"/>
  <c r="E406" i="2"/>
  <c r="E684" i="2"/>
  <c r="E996" i="2"/>
  <c r="E997" i="2"/>
  <c r="E685" i="2"/>
  <c r="E407" i="2"/>
  <c r="E686" i="2"/>
  <c r="E891" i="2"/>
  <c r="E892" i="2"/>
  <c r="E408" i="2"/>
  <c r="E281" i="2"/>
  <c r="E687" i="2"/>
  <c r="E688" i="2"/>
  <c r="E689" i="2"/>
  <c r="E282" i="2"/>
  <c r="E690" i="2"/>
  <c r="E691" i="2"/>
  <c r="E692" i="2"/>
  <c r="E693" i="2"/>
  <c r="E409" i="2"/>
  <c r="E410" i="2"/>
  <c r="E893" i="2"/>
  <c r="E411" i="2"/>
  <c r="E998" i="2"/>
  <c r="E894" i="2"/>
  <c r="E999" i="2"/>
  <c r="E694" i="2"/>
  <c r="E895" i="2"/>
  <c r="E896" i="2"/>
  <c r="E695" i="2"/>
  <c r="E696" i="2"/>
  <c r="E697" i="2"/>
  <c r="E283" i="2"/>
  <c r="E698" i="2"/>
  <c r="E412" i="2"/>
  <c r="E1000" i="2"/>
  <c r="E413" i="2"/>
  <c r="E699" i="2"/>
  <c r="E700" i="2"/>
  <c r="E701" i="2"/>
  <c r="E1001" i="2"/>
  <c r="E702" i="2"/>
  <c r="N703" i="2" a="1"/>
  <c r="N703" i="2" s="1"/>
  <c r="N2" i="2" a="1"/>
  <c r="N2" i="2" s="1"/>
  <c r="N284" i="2" a="1"/>
  <c r="N284" i="2" s="1"/>
  <c r="N414" i="2" a="1"/>
  <c r="N414" i="2" s="1"/>
  <c r="N3" i="2" a="1"/>
  <c r="N3" i="2" s="1"/>
  <c r="N4" i="2" a="1"/>
  <c r="N4" i="2" s="1"/>
  <c r="N897" i="2" a="1"/>
  <c r="N897" i="2" s="1"/>
  <c r="N704" i="2" a="1"/>
  <c r="N704" i="2" s="1"/>
  <c r="N5" i="2" a="1"/>
  <c r="N5" i="2" s="1"/>
  <c r="N898" i="2" a="1"/>
  <c r="N898" i="2" s="1"/>
  <c r="N6" i="2" a="1"/>
  <c r="N6" i="2" s="1"/>
  <c r="N285" i="2" a="1"/>
  <c r="N285" i="2" s="1"/>
  <c r="N899" i="2" a="1"/>
  <c r="N899" i="2" s="1"/>
  <c r="N705" i="2" a="1"/>
  <c r="N705" i="2" s="1"/>
  <c r="N415" i="2" a="1"/>
  <c r="N415" i="2" s="1"/>
  <c r="N7" i="2" a="1"/>
  <c r="N7" i="2" s="1"/>
  <c r="N8" i="2" a="1"/>
  <c r="N8" i="2" s="1"/>
  <c r="N9" i="2" a="1"/>
  <c r="N9" i="2" s="1"/>
  <c r="N706" i="2" a="1"/>
  <c r="N706" i="2" s="1"/>
  <c r="N10" i="2" a="1"/>
  <c r="N10" i="2" s="1"/>
  <c r="N707" i="2" a="1"/>
  <c r="N707" i="2" s="1"/>
  <c r="N286" i="2" a="1"/>
  <c r="N286" i="2" s="1"/>
  <c r="N708" i="2" a="1"/>
  <c r="N708" i="2" s="1"/>
  <c r="N287" i="2" a="1"/>
  <c r="N287" i="2" s="1"/>
  <c r="N709" i="2" a="1"/>
  <c r="N709" i="2" s="1"/>
  <c r="N11" i="2" a="1"/>
  <c r="N11" i="2" s="1"/>
  <c r="N12" i="2" a="1"/>
  <c r="N12" i="2" s="1"/>
  <c r="N900" i="2" a="1"/>
  <c r="N900" i="2" s="1"/>
  <c r="N416" i="2" a="1"/>
  <c r="N416" i="2" s="1"/>
  <c r="N13" i="2" a="1"/>
  <c r="N13" i="2" s="1"/>
  <c r="N14" i="2" a="1"/>
  <c r="N14" i="2" s="1"/>
  <c r="N15" i="2" a="1"/>
  <c r="N15" i="2" s="1"/>
  <c r="N16" i="2" a="1"/>
  <c r="N16" i="2" s="1"/>
  <c r="N288" i="2" a="1"/>
  <c r="N288" i="2" s="1"/>
  <c r="N289" i="2" a="1"/>
  <c r="N289" i="2" s="1"/>
  <c r="N17" i="2" a="1"/>
  <c r="N17" i="2" s="1"/>
  <c r="N18" i="2" a="1"/>
  <c r="N18" i="2" s="1"/>
  <c r="N19" i="2" a="1"/>
  <c r="N19" i="2" s="1"/>
  <c r="N20" i="2" a="1"/>
  <c r="N20" i="2" s="1"/>
  <c r="N21" i="2" a="1"/>
  <c r="N21" i="2" s="1"/>
  <c r="N22" i="2" a="1"/>
  <c r="N22" i="2" s="1"/>
  <c r="N710" i="2" a="1"/>
  <c r="N710" i="2" s="1"/>
  <c r="N23" i="2" a="1"/>
  <c r="N23" i="2" s="1"/>
  <c r="N901" i="2" a="1"/>
  <c r="N901" i="2" s="1"/>
  <c r="N24" i="2" a="1"/>
  <c r="N24" i="2" s="1"/>
  <c r="N25" i="2" a="1"/>
  <c r="N25" i="2" s="1"/>
  <c r="N417" i="2" a="1"/>
  <c r="N417" i="2" s="1"/>
  <c r="N711" i="2" a="1"/>
  <c r="N711" i="2" s="1"/>
  <c r="N26" i="2" a="1"/>
  <c r="N26" i="2" s="1"/>
  <c r="N712" i="2" a="1"/>
  <c r="N712" i="2" s="1"/>
  <c r="N27" i="2" a="1"/>
  <c r="N27" i="2" s="1"/>
  <c r="N290" i="2" a="1"/>
  <c r="N290" i="2" s="1"/>
  <c r="N28" i="2" a="1"/>
  <c r="N28" i="2" s="1"/>
  <c r="N291" i="2" a="1"/>
  <c r="N291" i="2" s="1"/>
  <c r="N418" i="2" a="1"/>
  <c r="N418" i="2" s="1"/>
  <c r="N292" i="2" a="1"/>
  <c r="N292" i="2" s="1"/>
  <c r="N713" i="2" a="1"/>
  <c r="N713" i="2" s="1"/>
  <c r="N902" i="2" a="1"/>
  <c r="N902" i="2" s="1"/>
  <c r="N714" i="2" a="1"/>
  <c r="N714" i="2" s="1"/>
  <c r="N419" i="2" a="1"/>
  <c r="N419" i="2" s="1"/>
  <c r="N29" i="2" a="1"/>
  <c r="N29" i="2" s="1"/>
  <c r="N30" i="2" a="1"/>
  <c r="N30" i="2" s="1"/>
  <c r="N715" i="2" a="1"/>
  <c r="N715" i="2" s="1"/>
  <c r="N420" i="2" a="1"/>
  <c r="N420" i="2" s="1"/>
  <c r="N31" i="2" a="1"/>
  <c r="N31" i="2" s="1"/>
  <c r="N32" i="2" a="1"/>
  <c r="N32" i="2" s="1"/>
  <c r="N716" i="2" a="1"/>
  <c r="N716" i="2" s="1"/>
  <c r="N33" i="2" a="1"/>
  <c r="N33" i="2" s="1"/>
  <c r="N34" i="2" a="1"/>
  <c r="N34" i="2" s="1"/>
  <c r="N35" i="2" a="1"/>
  <c r="N35" i="2" s="1"/>
  <c r="N903" i="2" a="1"/>
  <c r="N903" i="2" s="1"/>
  <c r="N36" i="2" a="1"/>
  <c r="N36" i="2" s="1"/>
  <c r="N904" i="2" a="1"/>
  <c r="N904" i="2" s="1"/>
  <c r="N37" i="2" a="1"/>
  <c r="N37" i="2" s="1"/>
  <c r="N38" i="2" a="1"/>
  <c r="N38" i="2" s="1"/>
  <c r="N905" i="2" a="1"/>
  <c r="N905" i="2" s="1"/>
  <c r="N39" i="2" a="1"/>
  <c r="N39" i="2" s="1"/>
  <c r="N293" i="2" a="1"/>
  <c r="N293" i="2" s="1"/>
  <c r="N294" i="2" a="1"/>
  <c r="N294" i="2" s="1"/>
  <c r="N717" i="2" a="1"/>
  <c r="N717" i="2" s="1"/>
  <c r="N40" i="2" a="1"/>
  <c r="N40" i="2" s="1"/>
  <c r="N41" i="2" a="1"/>
  <c r="N41" i="2" s="1"/>
  <c r="N42" i="2" a="1"/>
  <c r="N42" i="2" s="1"/>
  <c r="N43" i="2" a="1"/>
  <c r="N43" i="2" s="1"/>
  <c r="N718" i="2" a="1"/>
  <c r="N718" i="2" s="1"/>
  <c r="N44" i="2" a="1"/>
  <c r="N44" i="2" s="1"/>
  <c r="N906" i="2" a="1"/>
  <c r="N906" i="2" s="1"/>
  <c r="N295" i="2" a="1"/>
  <c r="N295" i="2" s="1"/>
  <c r="N45" i="2" a="1"/>
  <c r="N45" i="2" s="1"/>
  <c r="N46" i="2" a="1"/>
  <c r="N46" i="2" s="1"/>
  <c r="N47" i="2" a="1"/>
  <c r="N47" i="2" s="1"/>
  <c r="N48" i="2" a="1"/>
  <c r="N48" i="2" s="1"/>
  <c r="N421" i="2" a="1"/>
  <c r="N421" i="2" s="1"/>
  <c r="N49" i="2" a="1"/>
  <c r="N49" i="2" s="1"/>
  <c r="N50" i="2" a="1"/>
  <c r="N50" i="2" s="1"/>
  <c r="N296" i="2" a="1"/>
  <c r="N296" i="2" s="1"/>
  <c r="N51" i="2" a="1"/>
  <c r="N51" i="2" s="1"/>
  <c r="N719" i="2" a="1"/>
  <c r="N719" i="2" s="1"/>
  <c r="N720" i="2" a="1"/>
  <c r="N720" i="2" s="1"/>
  <c r="N52" i="2" a="1"/>
  <c r="N52" i="2" s="1"/>
  <c r="N53" i="2" a="1"/>
  <c r="N53" i="2" s="1"/>
  <c r="N422" i="2" a="1"/>
  <c r="N422" i="2" s="1"/>
  <c r="N54" i="2" a="1"/>
  <c r="N54" i="2" s="1"/>
  <c r="N423" i="2" a="1"/>
  <c r="N423" i="2" s="1"/>
  <c r="N424" i="2" a="1"/>
  <c r="N424" i="2" s="1"/>
  <c r="N55" i="2" a="1"/>
  <c r="N55" i="2" s="1"/>
  <c r="N425" i="2" a="1"/>
  <c r="N425" i="2" s="1"/>
  <c r="N721" i="2" a="1"/>
  <c r="N721" i="2" s="1"/>
  <c r="N722" i="2" a="1"/>
  <c r="N722" i="2" s="1"/>
  <c r="N723" i="2" a="1"/>
  <c r="N723" i="2" s="1"/>
  <c r="N56" i="2" a="1"/>
  <c r="N56" i="2" s="1"/>
  <c r="N426" i="2" a="1"/>
  <c r="N426" i="2" s="1"/>
  <c r="N724" i="2" a="1"/>
  <c r="N724" i="2" s="1"/>
  <c r="N907" i="2" a="1"/>
  <c r="N907" i="2" s="1"/>
  <c r="N57" i="2" a="1"/>
  <c r="N57" i="2" s="1"/>
  <c r="N58" i="2" a="1"/>
  <c r="N58" i="2" s="1"/>
  <c r="N59" i="2" a="1"/>
  <c r="N59" i="2" s="1"/>
  <c r="N60" i="2" a="1"/>
  <c r="N60" i="2" s="1"/>
  <c r="N297" i="2" a="1"/>
  <c r="N297" i="2" s="1"/>
  <c r="N61" i="2" a="1"/>
  <c r="N61" i="2" s="1"/>
  <c r="N725" i="2" a="1"/>
  <c r="N725" i="2" s="1"/>
  <c r="N908" i="2" a="1"/>
  <c r="N908" i="2" s="1"/>
  <c r="N298" i="2" a="1"/>
  <c r="N298" i="2" s="1"/>
  <c r="N909" i="2" a="1"/>
  <c r="N909" i="2" s="1"/>
  <c r="N726" i="2" a="1"/>
  <c r="N726" i="2" s="1"/>
  <c r="N299" i="2" a="1"/>
  <c r="N299" i="2" s="1"/>
  <c r="N62" i="2" a="1"/>
  <c r="N62" i="2" s="1"/>
  <c r="N63" i="2" a="1"/>
  <c r="N63" i="2" s="1"/>
  <c r="N64" i="2" a="1"/>
  <c r="N64" i="2" s="1"/>
  <c r="N65" i="2" a="1"/>
  <c r="N65" i="2" s="1"/>
  <c r="N427" i="2" a="1"/>
  <c r="N427" i="2" s="1"/>
  <c r="N300" i="2" a="1"/>
  <c r="N300" i="2" s="1"/>
  <c r="N727" i="2" a="1"/>
  <c r="N727" i="2" s="1"/>
  <c r="N728" i="2" a="1"/>
  <c r="N728" i="2" s="1"/>
  <c r="N66" i="2" a="1"/>
  <c r="N66" i="2" s="1"/>
  <c r="N67" i="2" a="1"/>
  <c r="N67" i="2" s="1"/>
  <c r="N68" i="2" a="1"/>
  <c r="N68" i="2" s="1"/>
  <c r="N69" i="2" a="1"/>
  <c r="N69" i="2" s="1"/>
  <c r="N70" i="2" a="1"/>
  <c r="N70" i="2" s="1"/>
  <c r="N71" i="2" a="1"/>
  <c r="N71" i="2" s="1"/>
  <c r="N729" i="2" a="1"/>
  <c r="N729" i="2" s="1"/>
  <c r="N72" i="2" a="1"/>
  <c r="N72" i="2" s="1"/>
  <c r="N730" i="2" a="1"/>
  <c r="N730" i="2" s="1"/>
  <c r="N301" i="2" a="1"/>
  <c r="N301" i="2" s="1"/>
  <c r="N73" i="2" a="1"/>
  <c r="N73" i="2" s="1"/>
  <c r="N731" i="2" a="1"/>
  <c r="N731" i="2" s="1"/>
  <c r="N732" i="2" a="1"/>
  <c r="N732" i="2" s="1"/>
  <c r="N733" i="2" a="1"/>
  <c r="N733" i="2" s="1"/>
  <c r="N74" i="2" a="1"/>
  <c r="N74" i="2" s="1"/>
  <c r="N75" i="2" a="1"/>
  <c r="N75" i="2" s="1"/>
  <c r="N428" i="2" a="1"/>
  <c r="N428" i="2" s="1"/>
  <c r="N910" i="2" a="1"/>
  <c r="N910" i="2" s="1"/>
  <c r="N76" i="2" a="1"/>
  <c r="N76" i="2" s="1"/>
  <c r="N911" i="2" a="1"/>
  <c r="N911" i="2" s="1"/>
  <c r="N302" i="2" a="1"/>
  <c r="N302" i="2" s="1"/>
  <c r="N77" i="2" a="1"/>
  <c r="N77" i="2"/>
  <c r="N912" i="2" a="1"/>
  <c r="N912" i="2" s="1"/>
  <c r="N78" i="2" a="1"/>
  <c r="N78" i="2" s="1"/>
  <c r="N79" i="2" a="1"/>
  <c r="N79" i="2" s="1"/>
  <c r="N80" i="2" a="1"/>
  <c r="N80" i="2" s="1"/>
  <c r="N429" i="2" a="1"/>
  <c r="N429" i="2" s="1"/>
  <c r="N81" i="2" a="1"/>
  <c r="N81" i="2" s="1"/>
  <c r="N430" i="2" a="1"/>
  <c r="N430" i="2" s="1"/>
  <c r="N734" i="2" a="1"/>
  <c r="N734" i="2" s="1"/>
  <c r="N82" i="2" a="1"/>
  <c r="N82" i="2" s="1"/>
  <c r="N83" i="2" a="1"/>
  <c r="N83" i="2" s="1"/>
  <c r="N303" i="2" a="1"/>
  <c r="N303" i="2" s="1"/>
  <c r="N913" i="2" a="1"/>
  <c r="N913" i="2" s="1"/>
  <c r="N431" i="2" a="1"/>
  <c r="N431" i="2" s="1"/>
  <c r="N84" i="2" a="1"/>
  <c r="N84" i="2" s="1"/>
  <c r="N914" i="2" a="1"/>
  <c r="N914" i="2" s="1"/>
  <c r="N304" i="2" a="1"/>
  <c r="N304" i="2" s="1"/>
  <c r="N85" i="2" a="1"/>
  <c r="N85" i="2" s="1"/>
  <c r="N86" i="2" a="1"/>
  <c r="N86" i="2" s="1"/>
  <c r="N735" i="2" a="1"/>
  <c r="N735" i="2" s="1"/>
  <c r="N305" i="2" a="1"/>
  <c r="N305" i="2" s="1"/>
  <c r="N87" i="2" a="1"/>
  <c r="N87" i="2" s="1"/>
  <c r="N915" i="2" a="1"/>
  <c r="N915" i="2" s="1"/>
  <c r="N916" i="2" a="1"/>
  <c r="N916" i="2" s="1"/>
  <c r="N88" i="2" a="1"/>
  <c r="N88" i="2" s="1"/>
  <c r="N89" i="2" a="1"/>
  <c r="N89" i="2" s="1"/>
  <c r="N90" i="2" a="1"/>
  <c r="N90" i="2" s="1"/>
  <c r="N91" i="2" a="1"/>
  <c r="N91" i="2" s="1"/>
  <c r="N736" i="2" a="1"/>
  <c r="N736" i="2" s="1"/>
  <c r="N917" i="2" a="1"/>
  <c r="N917" i="2" s="1"/>
  <c r="N306" i="2" a="1"/>
  <c r="N306" i="2" s="1"/>
  <c r="N92" i="2" a="1"/>
  <c r="N92" i="2" s="1"/>
  <c r="N307" i="2" a="1"/>
  <c r="N307" i="2" s="1"/>
  <c r="N432" i="2" a="1"/>
  <c r="N432" i="2" s="1"/>
  <c r="N93" i="2" a="1"/>
  <c r="N93" i="2" s="1"/>
  <c r="N94" i="2" a="1"/>
  <c r="N94" i="2" s="1"/>
  <c r="N308" i="2" a="1"/>
  <c r="N308" i="2" s="1"/>
  <c r="N309" i="2" a="1"/>
  <c r="N309" i="2" s="1"/>
  <c r="N433" i="2" a="1"/>
  <c r="N433" i="2" s="1"/>
  <c r="N95" i="2" a="1"/>
  <c r="N95" i="2" s="1"/>
  <c r="N96" i="2" a="1"/>
  <c r="N96" i="2" s="1"/>
  <c r="N737" i="2" a="1"/>
  <c r="N737" i="2" s="1"/>
  <c r="N434" i="2" a="1"/>
  <c r="N434" i="2" s="1"/>
  <c r="N918" i="2" a="1"/>
  <c r="N918" i="2" s="1"/>
  <c r="N310" i="2" a="1"/>
  <c r="N310" i="2" s="1"/>
  <c r="N435" i="2" a="1"/>
  <c r="N435" i="2" s="1"/>
  <c r="N97" i="2" a="1"/>
  <c r="N97" i="2" s="1"/>
  <c r="N738" i="2" a="1"/>
  <c r="N738" i="2" s="1"/>
  <c r="N436" i="2" a="1"/>
  <c r="N436" i="2" s="1"/>
  <c r="N311" i="2" a="1"/>
  <c r="N311" i="2" s="1"/>
  <c r="N98" i="2" a="1"/>
  <c r="N98" i="2" s="1"/>
  <c r="N312" i="2" a="1"/>
  <c r="N312" i="2" s="1"/>
  <c r="N99" i="2" a="1"/>
  <c r="N99" i="2" s="1"/>
  <c r="N739" i="2" a="1"/>
  <c r="N739" i="2" s="1"/>
  <c r="N100" i="2" a="1"/>
  <c r="N100" i="2" s="1"/>
  <c r="N313" i="2" a="1"/>
  <c r="N313" i="2" s="1"/>
  <c r="N740" i="2" a="1"/>
  <c r="N740" i="2" s="1"/>
  <c r="N101" i="2" a="1"/>
  <c r="N101" i="2" s="1"/>
  <c r="N437" i="2" a="1"/>
  <c r="N437" i="2" s="1"/>
  <c r="N102" i="2" a="1"/>
  <c r="N102" i="2" s="1"/>
  <c r="N314" i="2" a="1"/>
  <c r="N314" i="2" s="1"/>
  <c r="N103" i="2" a="1"/>
  <c r="N103" i="2" s="1"/>
  <c r="N104" i="2" a="1"/>
  <c r="N104" i="2" s="1"/>
  <c r="N105" i="2" a="1"/>
  <c r="N105" i="2" s="1"/>
  <c r="N106" i="2" a="1"/>
  <c r="N106" i="2" s="1"/>
  <c r="N438" i="2" a="1"/>
  <c r="N438" i="2" s="1"/>
  <c r="N107" i="2" a="1"/>
  <c r="N107" i="2" s="1"/>
  <c r="N108" i="2" a="1"/>
  <c r="N108" i="2" s="1"/>
  <c r="N439" i="2" a="1"/>
  <c r="N439" i="2" s="1"/>
  <c r="N109" i="2" a="1"/>
  <c r="N109" i="2" s="1"/>
  <c r="N110" i="2" a="1"/>
  <c r="N110" i="2" s="1"/>
  <c r="N111" i="2" a="1"/>
  <c r="N111" i="2" s="1"/>
  <c r="N112" i="2" a="1"/>
  <c r="N112" i="2" s="1"/>
  <c r="N113" i="2" a="1"/>
  <c r="N113" i="2" s="1"/>
  <c r="N315" i="2" a="1"/>
  <c r="N315" i="2" s="1"/>
  <c r="N919" i="2" a="1"/>
  <c r="N919" i="2" s="1"/>
  <c r="N741" i="2" a="1"/>
  <c r="N741" i="2" s="1"/>
  <c r="N114" i="2" a="1"/>
  <c r="N114" i="2" s="1"/>
  <c r="N115" i="2" a="1"/>
  <c r="N115" i="2" s="1"/>
  <c r="N316" i="2" a="1"/>
  <c r="N316" i="2" s="1"/>
  <c r="N116" i="2" a="1"/>
  <c r="N116" i="2" s="1"/>
  <c r="N117" i="2" a="1"/>
  <c r="N117" i="2" s="1"/>
  <c r="N118" i="2" a="1"/>
  <c r="N118" i="2" s="1"/>
  <c r="N440" i="2" a="1"/>
  <c r="N440" i="2" s="1"/>
  <c r="N119" i="2" a="1"/>
  <c r="N119" i="2" s="1"/>
  <c r="N120" i="2" a="1"/>
  <c r="N120" i="2" s="1"/>
  <c r="N121" i="2" a="1"/>
  <c r="N121" i="2" s="1"/>
  <c r="N122" i="2" a="1"/>
  <c r="N122" i="2" s="1"/>
  <c r="N123" i="2" a="1"/>
  <c r="N123" i="2" s="1"/>
  <c r="N920" i="2" a="1"/>
  <c r="N920" i="2" s="1"/>
  <c r="N921" i="2" a="1"/>
  <c r="N921" i="2" s="1"/>
  <c r="N922" i="2" a="1"/>
  <c r="N922" i="2" s="1"/>
  <c r="N923" i="2" a="1"/>
  <c r="N923" i="2"/>
  <c r="N124" i="2" a="1"/>
  <c r="N124" i="2" s="1"/>
  <c r="N441" i="2" a="1"/>
  <c r="N441" i="2" s="1"/>
  <c r="N924" i="2" a="1"/>
  <c r="N924" i="2" s="1"/>
  <c r="N925" i="2" a="1"/>
  <c r="N925" i="2" s="1"/>
  <c r="N442" i="2" a="1"/>
  <c r="N442" i="2" s="1"/>
  <c r="N926" i="2" a="1"/>
  <c r="N926" i="2" s="1"/>
  <c r="N125" i="2" a="1"/>
  <c r="N125" i="2" s="1"/>
  <c r="N126" i="2" a="1"/>
  <c r="N126" i="2" s="1"/>
  <c r="N127" i="2" a="1"/>
  <c r="N127" i="2" s="1"/>
  <c r="N742" i="2" a="1"/>
  <c r="N742" i="2" s="1"/>
  <c r="N927" i="2" a="1"/>
  <c r="N927" i="2" s="1"/>
  <c r="N928" i="2" a="1"/>
  <c r="N928" i="2" s="1"/>
  <c r="N128" i="2" a="1"/>
  <c r="N128" i="2" s="1"/>
  <c r="N743" i="2" a="1"/>
  <c r="N743" i="2" s="1"/>
  <c r="N129" i="2" a="1"/>
  <c r="N129" i="2" s="1"/>
  <c r="N443" i="2" a="1"/>
  <c r="N443" i="2"/>
  <c r="N744" i="2" a="1"/>
  <c r="N744" i="2" s="1"/>
  <c r="N130" i="2" a="1"/>
  <c r="N130" i="2" s="1"/>
  <c r="N131" i="2" a="1"/>
  <c r="N131" i="2" s="1"/>
  <c r="N929" i="2" a="1"/>
  <c r="N929" i="2" s="1"/>
  <c r="N444" i="2" a="1"/>
  <c r="N444" i="2" s="1"/>
  <c r="N745" i="2" a="1"/>
  <c r="N745" i="2" s="1"/>
  <c r="N132" i="2" a="1"/>
  <c r="N132" i="2" s="1"/>
  <c r="N133" i="2" a="1"/>
  <c r="N133" i="2" s="1"/>
  <c r="N134" i="2" a="1"/>
  <c r="N134" i="2" s="1"/>
  <c r="N135" i="2" a="1"/>
  <c r="N135" i="2" s="1"/>
  <c r="N136" i="2" a="1"/>
  <c r="N136" i="2" s="1"/>
  <c r="N317" i="2" a="1"/>
  <c r="N317" i="2" s="1"/>
  <c r="N137" i="2" a="1"/>
  <c r="N137" i="2" s="1"/>
  <c r="N138" i="2" a="1"/>
  <c r="N138" i="2" s="1"/>
  <c r="N930" i="2" a="1"/>
  <c r="N930" i="2" s="1"/>
  <c r="N139" i="2" a="1"/>
  <c r="N139" i="2" s="1"/>
  <c r="N140" i="2" a="1"/>
  <c r="N140" i="2" s="1"/>
  <c r="N141" i="2" a="1"/>
  <c r="N141" i="2" s="1"/>
  <c r="N142" i="2" a="1"/>
  <c r="N142" i="2" s="1"/>
  <c r="N445" i="2" a="1"/>
  <c r="N445" i="2" s="1"/>
  <c r="N143" i="2" a="1"/>
  <c r="N143" i="2" s="1"/>
  <c r="N446" i="2" a="1"/>
  <c r="N446" i="2" s="1"/>
  <c r="N931" i="2" a="1"/>
  <c r="N931" i="2" s="1"/>
  <c r="N144" i="2" a="1"/>
  <c r="N144" i="2" s="1"/>
  <c r="N932" i="2" a="1"/>
  <c r="N932" i="2" s="1"/>
  <c r="N145" i="2" a="1"/>
  <c r="N145" i="2" s="1"/>
  <c r="N447" i="2" a="1"/>
  <c r="N447" i="2" s="1"/>
  <c r="N746" i="2" a="1"/>
  <c r="N746" i="2" s="1"/>
  <c r="N747" i="2" a="1"/>
  <c r="N747" i="2" s="1"/>
  <c r="N146" i="2" a="1"/>
  <c r="N146" i="2" s="1"/>
  <c r="N147" i="2" a="1"/>
  <c r="N147" i="2" s="1"/>
  <c r="N933" i="2" a="1"/>
  <c r="N933" i="2" s="1"/>
  <c r="N448" i="2" a="1"/>
  <c r="N448" i="2" s="1"/>
  <c r="N934" i="2" a="1"/>
  <c r="N934" i="2" s="1"/>
  <c r="N318" i="2" a="1"/>
  <c r="N318" i="2" s="1"/>
  <c r="N148" i="2" a="1"/>
  <c r="N148" i="2" s="1"/>
  <c r="N149" i="2" a="1"/>
  <c r="N149" i="2" s="1"/>
  <c r="N748" i="2" a="1"/>
  <c r="N748" i="2" s="1"/>
  <c r="N150" i="2" a="1"/>
  <c r="N150" i="2" s="1"/>
  <c r="N151" i="2" a="1"/>
  <c r="N151" i="2" s="1"/>
  <c r="N319" i="2" a="1"/>
  <c r="N319" i="2" s="1"/>
  <c r="N152" i="2" a="1"/>
  <c r="N152" i="2" s="1"/>
  <c r="N320" i="2" a="1"/>
  <c r="N320" i="2" s="1"/>
  <c r="N153" i="2" a="1"/>
  <c r="N153" i="2" s="1"/>
  <c r="N749" i="2" a="1"/>
  <c r="N749" i="2" s="1"/>
  <c r="N154" i="2" a="1"/>
  <c r="N154" i="2" s="1"/>
  <c r="N935" i="2" a="1"/>
  <c r="N935" i="2" s="1"/>
  <c r="N449" i="2" a="1"/>
  <c r="N449" i="2" s="1"/>
  <c r="N155" i="2" a="1"/>
  <c r="N155" i="2" s="1"/>
  <c r="N750" i="2" a="1"/>
  <c r="N750" i="2" s="1"/>
  <c r="N321" i="2" a="1"/>
  <c r="N321" i="2" s="1"/>
  <c r="N450" i="2" a="1"/>
  <c r="N450" i="2" s="1"/>
  <c r="N751" i="2" a="1"/>
  <c r="N751" i="2" s="1"/>
  <c r="N156" i="2" a="1"/>
  <c r="N156" i="2" s="1"/>
  <c r="N936" i="2" a="1"/>
  <c r="N936" i="2" s="1"/>
  <c r="N157" i="2" a="1"/>
  <c r="N157" i="2" s="1"/>
  <c r="N937" i="2" a="1"/>
  <c r="N937" i="2" s="1"/>
  <c r="N938" i="2" a="1"/>
  <c r="N938" i="2" s="1"/>
  <c r="N158" i="2" a="1"/>
  <c r="N158" i="2" s="1"/>
  <c r="N752" i="2" a="1"/>
  <c r="N752" i="2" s="1"/>
  <c r="N322" i="2" a="1"/>
  <c r="N322" i="2" s="1"/>
  <c r="N753" i="2" a="1"/>
  <c r="N753" i="2" s="1"/>
  <c r="N159" i="2" a="1"/>
  <c r="N159" i="2" s="1"/>
  <c r="N160" i="2" a="1"/>
  <c r="N160" i="2" s="1"/>
  <c r="N754" i="2" a="1"/>
  <c r="N754" i="2" s="1"/>
  <c r="N323" i="2" a="1"/>
  <c r="N323" i="2" s="1"/>
  <c r="N324" i="2" a="1"/>
  <c r="N324" i="2" s="1"/>
  <c r="N161" i="2" a="1"/>
  <c r="N161" i="2" s="1"/>
  <c r="N162" i="2" a="1"/>
  <c r="N162" i="2" s="1"/>
  <c r="N939" i="2" a="1"/>
  <c r="N939" i="2" s="1"/>
  <c r="N325" i="2" a="1"/>
  <c r="N325" i="2" s="1"/>
  <c r="N326" i="2" a="1"/>
  <c r="N326" i="2" s="1"/>
  <c r="N163" i="2" a="1"/>
  <c r="N163" i="2" s="1"/>
  <c r="N164" i="2" a="1"/>
  <c r="N164" i="2" s="1"/>
  <c r="N940" i="2" a="1"/>
  <c r="N940" i="2" s="1"/>
  <c r="N165" i="2" a="1"/>
  <c r="N165" i="2" s="1"/>
  <c r="N166" i="2" a="1"/>
  <c r="N166" i="2" s="1"/>
  <c r="N167" i="2" a="1"/>
  <c r="N167" i="2" s="1"/>
  <c r="N168" i="2" a="1"/>
  <c r="N168" i="2" s="1"/>
  <c r="N169" i="2" a="1"/>
  <c r="N169" i="2" s="1"/>
  <c r="N170" i="2" a="1"/>
  <c r="N170" i="2" s="1"/>
  <c r="N171" i="2" a="1"/>
  <c r="N171" i="2" s="1"/>
  <c r="N755" i="2" a="1"/>
  <c r="N755" i="2" s="1"/>
  <c r="N451" i="2" a="1"/>
  <c r="N451" i="2" s="1"/>
  <c r="N172" i="2" a="1"/>
  <c r="N172" i="2"/>
  <c r="N173" i="2" a="1"/>
  <c r="N173" i="2" s="1"/>
  <c r="N174" i="2" a="1"/>
  <c r="N174" i="2" s="1"/>
  <c r="N175" i="2" a="1"/>
  <c r="N175" i="2" s="1"/>
  <c r="N327" i="2" a="1"/>
  <c r="N327" i="2" s="1"/>
  <c r="N756" i="2" a="1"/>
  <c r="N756" i="2" s="1"/>
  <c r="N176" i="2" a="1"/>
  <c r="N176" i="2" s="1"/>
  <c r="N328" i="2" a="1"/>
  <c r="N328" i="2" s="1"/>
  <c r="N941" i="2" a="1"/>
  <c r="N941" i="2" s="1"/>
  <c r="N177" i="2" a="1"/>
  <c r="N177" i="2" s="1"/>
  <c r="N329" i="2" a="1"/>
  <c r="N329" i="2" s="1"/>
  <c r="N330" i="2" a="1"/>
  <c r="N330" i="2" s="1"/>
  <c r="N942" i="2" a="1"/>
  <c r="N942" i="2" s="1"/>
  <c r="N178" i="2" a="1"/>
  <c r="N178" i="2" s="1"/>
  <c r="N757" i="2" a="1"/>
  <c r="N757" i="2" s="1"/>
  <c r="N758" i="2" a="1"/>
  <c r="N758" i="2" s="1"/>
  <c r="N179" i="2" a="1"/>
  <c r="N179" i="2" s="1"/>
  <c r="N759" i="2" a="1"/>
  <c r="N759" i="2" s="1"/>
  <c r="N452" i="2" a="1"/>
  <c r="N452" i="2" s="1"/>
  <c r="N943" i="2" a="1"/>
  <c r="N943" i="2" s="1"/>
  <c r="N180" i="2" a="1"/>
  <c r="N180" i="2"/>
  <c r="N181" i="2" a="1"/>
  <c r="N181" i="2" s="1"/>
  <c r="N944" i="2" a="1"/>
  <c r="N944" i="2" s="1"/>
  <c r="N331" i="2" a="1"/>
  <c r="N331" i="2" s="1"/>
  <c r="N760" i="2" a="1"/>
  <c r="N760" i="2" s="1"/>
  <c r="N182" i="2" a="1"/>
  <c r="N182" i="2" s="1"/>
  <c r="N332" i="2" a="1"/>
  <c r="N332" i="2" s="1"/>
  <c r="N761" i="2" a="1"/>
  <c r="N761" i="2" s="1"/>
  <c r="N183" i="2" a="1"/>
  <c r="N183" i="2" s="1"/>
  <c r="N945" i="2" a="1"/>
  <c r="N945" i="2" s="1"/>
  <c r="N184" i="2" a="1"/>
  <c r="N184" i="2" s="1"/>
  <c r="N453" i="2" a="1"/>
  <c r="N453" i="2" s="1"/>
  <c r="N454" i="2" a="1"/>
  <c r="N454" i="2" s="1"/>
  <c r="N185" i="2" a="1"/>
  <c r="N185" i="2" s="1"/>
  <c r="N333" i="2" a="1"/>
  <c r="N333" i="2" s="1"/>
  <c r="N762" i="2" a="1"/>
  <c r="N762" i="2" s="1"/>
  <c r="N186" i="2" a="1"/>
  <c r="N186" i="2" s="1"/>
  <c r="N187" i="2" a="1"/>
  <c r="N187" i="2" s="1"/>
  <c r="N946" i="2" a="1"/>
  <c r="N946" i="2" s="1"/>
  <c r="N188" i="2" a="1"/>
  <c r="N188" i="2" s="1"/>
  <c r="N189" i="2" a="1"/>
  <c r="N189" i="2" s="1"/>
  <c r="N334" i="2" a="1"/>
  <c r="N334" i="2" s="1"/>
  <c r="N455" i="2" a="1"/>
  <c r="N455" i="2" s="1"/>
  <c r="N456" i="2" a="1"/>
  <c r="N456" i="2" s="1"/>
  <c r="N190" i="2" a="1"/>
  <c r="N190" i="2" s="1"/>
  <c r="N191" i="2" a="1"/>
  <c r="N191" i="2" s="1"/>
  <c r="N763" i="2" a="1"/>
  <c r="N763" i="2" s="1"/>
  <c r="N192" i="2" a="1"/>
  <c r="N192" i="2" s="1"/>
  <c r="N457" i="2" a="1"/>
  <c r="N457" i="2" s="1"/>
  <c r="N193" i="2" a="1"/>
  <c r="N193" i="2" s="1"/>
  <c r="N194" i="2" a="1"/>
  <c r="N194" i="2" s="1"/>
  <c r="N764" i="2" a="1"/>
  <c r="N764" i="2" s="1"/>
  <c r="N947" i="2" a="1"/>
  <c r="N947" i="2" s="1"/>
  <c r="N765" i="2" a="1"/>
  <c r="N765" i="2" s="1"/>
  <c r="N195" i="2" a="1"/>
  <c r="N195" i="2" s="1"/>
  <c r="N196" i="2" a="1"/>
  <c r="N196" i="2" s="1"/>
  <c r="N197" i="2" a="1"/>
  <c r="N197" i="2" s="1"/>
  <c r="N198" i="2" a="1"/>
  <c r="N198" i="2" s="1"/>
  <c r="N766" i="2" a="1"/>
  <c r="N766" i="2" s="1"/>
  <c r="N335" i="2" a="1"/>
  <c r="N335" i="2" s="1"/>
  <c r="N767" i="2" a="1"/>
  <c r="N767" i="2"/>
  <c r="N948" i="2" a="1"/>
  <c r="N948" i="2" s="1"/>
  <c r="N199" i="2" a="1"/>
  <c r="N199" i="2" s="1"/>
  <c r="N458" i="2" a="1"/>
  <c r="N458" i="2" s="1"/>
  <c r="N768" i="2" a="1"/>
  <c r="N768" i="2"/>
  <c r="N200" i="2" a="1"/>
  <c r="N200" i="2" s="1"/>
  <c r="N769" i="2" a="1"/>
  <c r="N769" i="2" s="1"/>
  <c r="N336" i="2" a="1"/>
  <c r="N336" i="2" s="1"/>
  <c r="N459" i="2" a="1"/>
  <c r="N459" i="2" s="1"/>
  <c r="N201" i="2" a="1"/>
  <c r="N201" i="2" s="1"/>
  <c r="N202" i="2" a="1"/>
  <c r="N202" i="2" s="1"/>
  <c r="N203" i="2" a="1"/>
  <c r="N203" i="2" s="1"/>
  <c r="N949" i="2" a="1"/>
  <c r="N949" i="2" s="1"/>
  <c r="N204" i="2" a="1"/>
  <c r="N204" i="2" s="1"/>
  <c r="N950" i="2" a="1"/>
  <c r="N950" i="2" s="1"/>
  <c r="N205" i="2" a="1"/>
  <c r="N205" i="2" s="1"/>
  <c r="N206" i="2" a="1"/>
  <c r="N206" i="2" s="1"/>
  <c r="N770" i="2" a="1"/>
  <c r="N770" i="2" s="1"/>
  <c r="N207" i="2" a="1"/>
  <c r="N207" i="2" s="1"/>
  <c r="N337" i="2" a="1"/>
  <c r="N337" i="2" s="1"/>
  <c r="N951" i="2" a="1"/>
  <c r="N951" i="2"/>
  <c r="N208" i="2" a="1"/>
  <c r="N208" i="2" s="1"/>
  <c r="N209" i="2" a="1"/>
  <c r="N209" i="2" s="1"/>
  <c r="N210" i="2" a="1"/>
  <c r="N210" i="2" s="1"/>
  <c r="N952" i="2" a="1"/>
  <c r="N952" i="2" s="1"/>
  <c r="N211" i="2" a="1"/>
  <c r="N211" i="2" s="1"/>
  <c r="N212" i="2" a="1"/>
  <c r="N212" i="2" s="1"/>
  <c r="N213" i="2" a="1"/>
  <c r="N213" i="2" s="1"/>
  <c r="N338" i="2" a="1"/>
  <c r="N338" i="2" s="1"/>
  <c r="N214" i="2" a="1"/>
  <c r="N214" i="2" s="1"/>
  <c r="N339" i="2" a="1"/>
  <c r="N339" i="2" s="1"/>
  <c r="N460" i="2" a="1"/>
  <c r="N460" i="2" s="1"/>
  <c r="N340" i="2" a="1"/>
  <c r="N340" i="2" s="1"/>
  <c r="N461" i="2" a="1"/>
  <c r="N461" i="2" s="1"/>
  <c r="N341" i="2" a="1"/>
  <c r="N341" i="2" s="1"/>
  <c r="N771" i="2" a="1"/>
  <c r="N771" i="2" s="1"/>
  <c r="N215" i="2" a="1"/>
  <c r="N215" i="2" s="1"/>
  <c r="N772" i="2" a="1"/>
  <c r="N772" i="2" s="1"/>
  <c r="N953" i="2" a="1"/>
  <c r="N953" i="2"/>
  <c r="N773" i="2" a="1"/>
  <c r="N773" i="2" s="1"/>
  <c r="N216" i="2" a="1"/>
  <c r="N216" i="2"/>
  <c r="N774" i="2" a="1"/>
  <c r="N774" i="2" s="1"/>
  <c r="N217" i="2" a="1"/>
  <c r="N217" i="2" s="1"/>
  <c r="N775" i="2" a="1"/>
  <c r="N775" i="2" s="1"/>
  <c r="N218" i="2" a="1"/>
  <c r="N218" i="2"/>
  <c r="N462" i="2" a="1"/>
  <c r="N462" i="2" s="1"/>
  <c r="N219" i="2" a="1"/>
  <c r="N219" i="2" s="1"/>
  <c r="N342" i="2" a="1"/>
  <c r="N342" i="2" s="1"/>
  <c r="N954" i="2" a="1"/>
  <c r="N954" i="2" s="1"/>
  <c r="N220" i="2" a="1"/>
  <c r="N220" i="2" s="1"/>
  <c r="N955" i="2" a="1"/>
  <c r="N955" i="2" s="1"/>
  <c r="N343" i="2" a="1"/>
  <c r="N343" i="2" s="1"/>
  <c r="N221" i="2" a="1"/>
  <c r="N221" i="2" s="1"/>
  <c r="N956" i="2" a="1"/>
  <c r="N956" i="2" s="1"/>
  <c r="N776" i="2" a="1"/>
  <c r="N776" i="2" s="1"/>
  <c r="N222" i="2" a="1"/>
  <c r="N222" i="2" s="1"/>
  <c r="N223" i="2" a="1"/>
  <c r="N223" i="2" s="1"/>
  <c r="N777" i="2" a="1"/>
  <c r="N777" i="2" s="1"/>
  <c r="N224" i="2" a="1"/>
  <c r="N224" i="2" s="1"/>
  <c r="N957" i="2" a="1"/>
  <c r="N957" i="2" s="1"/>
  <c r="N344" i="2" a="1"/>
  <c r="N344" i="2" s="1"/>
  <c r="N225" i="2" a="1"/>
  <c r="N225" i="2" s="1"/>
  <c r="N226" i="2" a="1"/>
  <c r="N226" i="2" s="1"/>
  <c r="N463" i="2" a="1"/>
  <c r="N463" i="2" s="1"/>
  <c r="N778" i="2" a="1"/>
  <c r="N778" i="2" s="1"/>
  <c r="N227" i="2" a="1"/>
  <c r="N227" i="2" s="1"/>
  <c r="N345" i="2" a="1"/>
  <c r="N345" i="2" s="1"/>
  <c r="N228" i="2" a="1"/>
  <c r="N228" i="2" s="1"/>
  <c r="N464" i="2" a="1"/>
  <c r="N464" i="2"/>
  <c r="N465" i="2" a="1"/>
  <c r="N465" i="2" s="1"/>
  <c r="N229" i="2" a="1"/>
  <c r="N229" i="2" s="1"/>
  <c r="N779" i="2" a="1"/>
  <c r="N779" i="2" s="1"/>
  <c r="N346" i="2" a="1"/>
  <c r="N346" i="2" s="1"/>
  <c r="N780" i="2" a="1"/>
  <c r="N780" i="2" s="1"/>
  <c r="N781" i="2" a="1"/>
  <c r="N781" i="2" s="1"/>
  <c r="N230" i="2" a="1"/>
  <c r="N230" i="2" s="1"/>
  <c r="N231" i="2" a="1"/>
  <c r="N231" i="2" s="1"/>
  <c r="N232" i="2" a="1"/>
  <c r="N232" i="2" s="1"/>
  <c r="N347" i="2" a="1"/>
  <c r="N347" i="2" s="1"/>
  <c r="N782" i="2" a="1"/>
  <c r="N782" i="2" s="1"/>
  <c r="N233" i="2" a="1"/>
  <c r="N233" i="2"/>
  <c r="N234" i="2" a="1"/>
  <c r="N234" i="2" s="1"/>
  <c r="N466" i="2" a="1"/>
  <c r="N466" i="2" s="1"/>
  <c r="N467" i="2" a="1"/>
  <c r="N467" i="2" s="1"/>
  <c r="N783" i="2" a="1"/>
  <c r="N783" i="2" s="1"/>
  <c r="N468" i="2" a="1"/>
  <c r="N468" i="2" s="1"/>
  <c r="N469" i="2" a="1"/>
  <c r="N469" i="2" s="1"/>
  <c r="N470" i="2" a="1"/>
  <c r="N470" i="2" s="1"/>
  <c r="N471" i="2" a="1"/>
  <c r="N471" i="2" s="1"/>
  <c r="N472" i="2" a="1"/>
  <c r="N472" i="2" s="1"/>
  <c r="N348" i="2" a="1"/>
  <c r="N348" i="2" s="1"/>
  <c r="N784" i="2" a="1"/>
  <c r="N784" i="2" s="1"/>
  <c r="N473" i="2" a="1"/>
  <c r="N473" i="2" s="1"/>
  <c r="N785" i="2" a="1"/>
  <c r="N785" i="2" s="1"/>
  <c r="N786" i="2" a="1"/>
  <c r="N786" i="2" s="1"/>
  <c r="N958" i="2" a="1"/>
  <c r="N958" i="2" s="1"/>
  <c r="N474" i="2" a="1"/>
  <c r="N474" i="2" s="1"/>
  <c r="N959" i="2" a="1"/>
  <c r="N959" i="2" s="1"/>
  <c r="N475" i="2" a="1"/>
  <c r="N475" i="2" s="1"/>
  <c r="N787" i="2" a="1"/>
  <c r="N787" i="2" s="1"/>
  <c r="N476" i="2" a="1"/>
  <c r="N476" i="2" s="1"/>
  <c r="N349" i="2" a="1"/>
  <c r="N349" i="2" s="1"/>
  <c r="N477" i="2" a="1"/>
  <c r="N477" i="2" s="1"/>
  <c r="N350" i="2" a="1"/>
  <c r="N350" i="2" s="1"/>
  <c r="N478" i="2" a="1"/>
  <c r="N478" i="2" s="1"/>
  <c r="N479" i="2" a="1"/>
  <c r="N479" i="2" s="1"/>
  <c r="N788" i="2" a="1"/>
  <c r="N788" i="2" s="1"/>
  <c r="N480" i="2" a="1"/>
  <c r="N480" i="2" s="1"/>
  <c r="N481" i="2" a="1"/>
  <c r="N481" i="2" s="1"/>
  <c r="N482" i="2" a="1"/>
  <c r="N482" i="2" s="1"/>
  <c r="N351" i="2" a="1"/>
  <c r="N351" i="2" s="1"/>
  <c r="N352" i="2" a="1"/>
  <c r="N352" i="2" s="1"/>
  <c r="N960" i="2" a="1"/>
  <c r="N960" i="2" s="1"/>
  <c r="N789" i="2" a="1"/>
  <c r="N789" i="2" s="1"/>
  <c r="N483" i="2" a="1"/>
  <c r="N483" i="2" s="1"/>
  <c r="N353" i="2" a="1"/>
  <c r="N353" i="2" s="1"/>
  <c r="N354" i="2" a="1"/>
  <c r="N354" i="2" s="1"/>
  <c r="N484" i="2" a="1"/>
  <c r="N484" i="2" s="1"/>
  <c r="N961" i="2" a="1"/>
  <c r="N961" i="2" s="1"/>
  <c r="N790" i="2" a="1"/>
  <c r="N790" i="2" s="1"/>
  <c r="N235" i="2" a="1"/>
  <c r="N235" i="2" s="1"/>
  <c r="N485" i="2" a="1"/>
  <c r="N485" i="2" s="1"/>
  <c r="N486" i="2" a="1"/>
  <c r="N486" i="2" s="1"/>
  <c r="N236" i="2" a="1"/>
  <c r="N236" i="2" s="1"/>
  <c r="N487" i="2" a="1"/>
  <c r="N487" i="2" s="1"/>
  <c r="N488" i="2" a="1"/>
  <c r="N488" i="2" s="1"/>
  <c r="N791" i="2" a="1"/>
  <c r="N791" i="2" s="1"/>
  <c r="N792" i="2" a="1"/>
  <c r="N792" i="2" s="1"/>
  <c r="N355" i="2" a="1"/>
  <c r="N355" i="2"/>
  <c r="N793" i="2" a="1"/>
  <c r="N793" i="2" s="1"/>
  <c r="N356" i="2" a="1"/>
  <c r="N356" i="2" s="1"/>
  <c r="N489" i="2" a="1"/>
  <c r="N489" i="2" s="1"/>
  <c r="N490" i="2" a="1"/>
  <c r="N490" i="2"/>
  <c r="N794" i="2" a="1"/>
  <c r="N794" i="2" s="1"/>
  <c r="N795" i="2" a="1"/>
  <c r="N795" i="2" s="1"/>
  <c r="N491" i="2" a="1"/>
  <c r="N491" i="2" s="1"/>
  <c r="N962" i="2" a="1"/>
  <c r="N962" i="2" s="1"/>
  <c r="N492" i="2" a="1"/>
  <c r="N492" i="2" s="1"/>
  <c r="N493" i="2" a="1"/>
  <c r="N493" i="2" s="1"/>
  <c r="N494" i="2" a="1"/>
  <c r="N494" i="2" s="1"/>
  <c r="N357" i="2" a="1"/>
  <c r="N357" i="2" s="1"/>
  <c r="N963" i="2" a="1"/>
  <c r="N963" i="2" s="1"/>
  <c r="N495" i="2" a="1"/>
  <c r="N495" i="2" s="1"/>
  <c r="N796" i="2" a="1"/>
  <c r="N796" i="2" s="1"/>
  <c r="N496" i="2" a="1"/>
  <c r="N496" i="2" s="1"/>
  <c r="N797" i="2" a="1"/>
  <c r="N797" i="2" s="1"/>
  <c r="N497" i="2" a="1"/>
  <c r="N497" i="2" s="1"/>
  <c r="N798" i="2" a="1"/>
  <c r="N798" i="2" s="1"/>
  <c r="N358" i="2" a="1"/>
  <c r="N358" i="2" s="1"/>
  <c r="N799" i="2" a="1"/>
  <c r="N799" i="2" s="1"/>
  <c r="N800" i="2" a="1"/>
  <c r="N800" i="2" s="1"/>
  <c r="N498" i="2" a="1"/>
  <c r="N498" i="2" s="1"/>
  <c r="N499" i="2" a="1"/>
  <c r="N499" i="2" s="1"/>
  <c r="N237" i="2" a="1"/>
  <c r="N237" i="2" s="1"/>
  <c r="N500" i="2" a="1"/>
  <c r="N500" i="2" s="1"/>
  <c r="N238" i="2" a="1"/>
  <c r="N238" i="2" s="1"/>
  <c r="N239" i="2" a="1"/>
  <c r="N239" i="2" s="1"/>
  <c r="N801" i="2" a="1"/>
  <c r="N801" i="2" s="1"/>
  <c r="N501" i="2" a="1"/>
  <c r="N501" i="2" s="1"/>
  <c r="N802" i="2" a="1"/>
  <c r="N802" i="2" s="1"/>
  <c r="N502" i="2" a="1"/>
  <c r="N502" i="2"/>
  <c r="N803" i="2" a="1"/>
  <c r="N803" i="2" s="1"/>
  <c r="N503" i="2" a="1"/>
  <c r="N503" i="2" s="1"/>
  <c r="N804" i="2" a="1"/>
  <c r="N804" i="2" s="1"/>
  <c r="N240" i="2" a="1"/>
  <c r="N240" i="2"/>
  <c r="N504" i="2" a="1"/>
  <c r="N504" i="2" s="1"/>
  <c r="N359" i="2" a="1"/>
  <c r="N359" i="2" s="1"/>
  <c r="N505" i="2" a="1"/>
  <c r="N505" i="2" s="1"/>
  <c r="N805" i="2" a="1"/>
  <c r="N805" i="2"/>
  <c r="N964" i="2" a="1"/>
  <c r="N964" i="2" s="1"/>
  <c r="N506" i="2" a="1"/>
  <c r="N506" i="2" s="1"/>
  <c r="N806" i="2" a="1"/>
  <c r="N806" i="2" s="1"/>
  <c r="N507" i="2" a="1"/>
  <c r="N507" i="2" s="1"/>
  <c r="N807" i="2" a="1"/>
  <c r="N807" i="2" s="1"/>
  <c r="N360" i="2" a="1"/>
  <c r="N360" i="2" s="1"/>
  <c r="N508" i="2" a="1"/>
  <c r="N508" i="2" s="1"/>
  <c r="N509" i="2" a="1"/>
  <c r="N509" i="2" s="1"/>
  <c r="N965" i="2" a="1"/>
  <c r="N965" i="2" s="1"/>
  <c r="N510" i="2" a="1"/>
  <c r="N510" i="2" s="1"/>
  <c r="N966" i="2" a="1"/>
  <c r="N966" i="2" s="1"/>
  <c r="N361" i="2" a="1"/>
  <c r="N361" i="2" s="1"/>
  <c r="N511" i="2" a="1"/>
  <c r="N511" i="2" s="1"/>
  <c r="N512" i="2" a="1"/>
  <c r="N512" i="2" s="1"/>
  <c r="N808" i="2" a="1"/>
  <c r="N808" i="2" s="1"/>
  <c r="N362" i="2" a="1"/>
  <c r="N362" i="2" s="1"/>
  <c r="N513" i="2" a="1"/>
  <c r="N513" i="2" s="1"/>
  <c r="N363" i="2" a="1"/>
  <c r="N363" i="2" s="1"/>
  <c r="N241" i="2" a="1"/>
  <c r="N241" i="2" s="1"/>
  <c r="N364" i="2" a="1"/>
  <c r="N364" i="2" s="1"/>
  <c r="N809" i="2" a="1"/>
  <c r="N809" i="2" s="1"/>
  <c r="N967" i="2" a="1"/>
  <c r="N967" i="2" s="1"/>
  <c r="N514" i="2" a="1"/>
  <c r="N514" i="2" s="1"/>
  <c r="N242" i="2" a="1"/>
  <c r="N242" i="2"/>
  <c r="N365" i="2" a="1"/>
  <c r="N365" i="2" s="1"/>
  <c r="N515" i="2" a="1"/>
  <c r="N515" i="2" s="1"/>
  <c r="N516" i="2" a="1"/>
  <c r="N516" i="2" s="1"/>
  <c r="N810" i="2" a="1"/>
  <c r="N810" i="2" s="1"/>
  <c r="N517" i="2" a="1"/>
  <c r="N517" i="2" s="1"/>
  <c r="N811" i="2" a="1"/>
  <c r="N811" i="2" s="1"/>
  <c r="N518" i="2" a="1"/>
  <c r="N518" i="2" s="1"/>
  <c r="N519" i="2" a="1"/>
  <c r="N519" i="2" s="1"/>
  <c r="N520" i="2" a="1"/>
  <c r="N520" i="2" s="1"/>
  <c r="N521" i="2" a="1"/>
  <c r="N521" i="2" s="1"/>
  <c r="N366" i="2" a="1"/>
  <c r="N366" i="2" s="1"/>
  <c r="N243" i="2" a="1"/>
  <c r="N243" i="2" s="1"/>
  <c r="N968" i="2" a="1"/>
  <c r="N968" i="2" s="1"/>
  <c r="N969" i="2" a="1"/>
  <c r="N969" i="2" s="1"/>
  <c r="N522" i="2" a="1"/>
  <c r="N522" i="2" s="1"/>
  <c r="N367" i="2" a="1"/>
  <c r="N367" i="2" s="1"/>
  <c r="N812" i="2" a="1"/>
  <c r="N812" i="2" s="1"/>
  <c r="N244" i="2" a="1"/>
  <c r="N244" i="2" s="1"/>
  <c r="N813" i="2" a="1"/>
  <c r="N813" i="2" s="1"/>
  <c r="N970" i="2" a="1"/>
  <c r="N970" i="2" s="1"/>
  <c r="N523" i="2" a="1"/>
  <c r="N523" i="2" s="1"/>
  <c r="N524" i="2" a="1"/>
  <c r="N524" i="2" s="1"/>
  <c r="N525" i="2" a="1"/>
  <c r="N525" i="2" s="1"/>
  <c r="N526" i="2" a="1"/>
  <c r="N526" i="2" s="1"/>
  <c r="N527" i="2" a="1"/>
  <c r="N527" i="2" s="1"/>
  <c r="N528" i="2" a="1"/>
  <c r="N528" i="2" s="1"/>
  <c r="N529" i="2" a="1"/>
  <c r="N529" i="2" s="1"/>
  <c r="N368" i="2" a="1"/>
  <c r="N368" i="2" s="1"/>
  <c r="N814" i="2" a="1"/>
  <c r="N814" i="2" s="1"/>
  <c r="N815" i="2" a="1"/>
  <c r="N815" i="2" s="1"/>
  <c r="N530" i="2" a="1"/>
  <c r="N530" i="2" s="1"/>
  <c r="N369" i="2" a="1"/>
  <c r="N369" i="2" s="1"/>
  <c r="N971" i="2" a="1"/>
  <c r="N971" i="2" s="1"/>
  <c r="N531" i="2" a="1"/>
  <c r="N531" i="2" s="1"/>
  <c r="N245" i="2" a="1"/>
  <c r="N245" i="2" s="1"/>
  <c r="N972" i="2" a="1"/>
  <c r="N972" i="2"/>
  <c r="N816" i="2" a="1"/>
  <c r="N816" i="2" s="1"/>
  <c r="N532" i="2" a="1"/>
  <c r="N532" i="2" s="1"/>
  <c r="N973" i="2" a="1"/>
  <c r="N973" i="2" s="1"/>
  <c r="N533" i="2" a="1"/>
  <c r="N533" i="2" s="1"/>
  <c r="N817" i="2" a="1"/>
  <c r="N817" i="2" s="1"/>
  <c r="N534" i="2" a="1"/>
  <c r="N534" i="2" s="1"/>
  <c r="N535" i="2" a="1"/>
  <c r="N535" i="2" s="1"/>
  <c r="N536" i="2" a="1"/>
  <c r="N536" i="2" s="1"/>
  <c r="N537" i="2" a="1"/>
  <c r="N537" i="2" s="1"/>
  <c r="N538" i="2" a="1"/>
  <c r="N538" i="2" s="1"/>
  <c r="N818" i="2" a="1"/>
  <c r="N818" i="2" s="1"/>
  <c r="N539" i="2" a="1"/>
  <c r="N539" i="2" s="1"/>
  <c r="N540" i="2" a="1"/>
  <c r="N540" i="2" s="1"/>
  <c r="N541" i="2" a="1"/>
  <c r="N541" i="2" s="1"/>
  <c r="N542" i="2" a="1"/>
  <c r="N542" i="2" s="1"/>
  <c r="N543" i="2" a="1"/>
  <c r="N543" i="2" s="1"/>
  <c r="N246" i="2" a="1"/>
  <c r="N246" i="2"/>
  <c r="N819" i="2" a="1"/>
  <c r="N819" i="2" s="1"/>
  <c r="N820" i="2" a="1"/>
  <c r="N820" i="2" s="1"/>
  <c r="N544" i="2" a="1"/>
  <c r="N544" i="2" s="1"/>
  <c r="N545" i="2" a="1"/>
  <c r="N545" i="2" s="1"/>
  <c r="N821" i="2" a="1"/>
  <c r="N821" i="2" s="1"/>
  <c r="N546" i="2" a="1"/>
  <c r="N546" i="2" s="1"/>
  <c r="N547" i="2" a="1"/>
  <c r="N547" i="2" s="1"/>
  <c r="N822" i="2" a="1"/>
  <c r="N822" i="2" s="1"/>
  <c r="N974" i="2" a="1"/>
  <c r="N974" i="2" s="1"/>
  <c r="N548" i="2" a="1"/>
  <c r="N548" i="2" s="1"/>
  <c r="N370" i="2" a="1"/>
  <c r="N370" i="2" s="1"/>
  <c r="N975" i="2" a="1"/>
  <c r="N975" i="2" s="1"/>
  <c r="N549" i="2" a="1"/>
  <c r="N549" i="2" s="1"/>
  <c r="N823" i="2" a="1"/>
  <c r="N823" i="2" s="1"/>
  <c r="N550" i="2" a="1"/>
  <c r="N550" i="2" s="1"/>
  <c r="N551" i="2" a="1"/>
  <c r="N551" i="2" s="1"/>
  <c r="N552" i="2" a="1"/>
  <c r="N552" i="2" s="1"/>
  <c r="N553" i="2" a="1"/>
  <c r="N553" i="2" s="1"/>
  <c r="N824" i="2" a="1"/>
  <c r="N824" i="2" s="1"/>
  <c r="N554" i="2" a="1"/>
  <c r="N554" i="2" s="1"/>
  <c r="N247" i="2" a="1"/>
  <c r="N247" i="2" s="1"/>
  <c r="N976" i="2" a="1"/>
  <c r="N976" i="2" s="1"/>
  <c r="N825" i="2" a="1"/>
  <c r="N825" i="2" s="1"/>
  <c r="N555" i="2" a="1"/>
  <c r="N555" i="2"/>
  <c r="N371" i="2" a="1"/>
  <c r="N371" i="2" s="1"/>
  <c r="N556" i="2" a="1"/>
  <c r="N556" i="2" s="1"/>
  <c r="N557" i="2" a="1"/>
  <c r="N557" i="2" s="1"/>
  <c r="N372" i="2" a="1"/>
  <c r="N372" i="2" s="1"/>
  <c r="N248" i="2" a="1"/>
  <c r="N248" i="2" s="1"/>
  <c r="N373" i="2" a="1"/>
  <c r="N373" i="2" s="1"/>
  <c r="N558" i="2" a="1"/>
  <c r="N558" i="2" s="1"/>
  <c r="N559" i="2" a="1"/>
  <c r="N559" i="2" s="1"/>
  <c r="N826" i="2" a="1"/>
  <c r="N826" i="2" s="1"/>
  <c r="N249" i="2" a="1"/>
  <c r="N249" i="2" s="1"/>
  <c r="N560" i="2" a="1"/>
  <c r="N560" i="2" s="1"/>
  <c r="N250" i="2" a="1"/>
  <c r="N250" i="2" s="1"/>
  <c r="N977" i="2" a="1"/>
  <c r="N977" i="2" s="1"/>
  <c r="N827" i="2" a="1"/>
  <c r="N827" i="2" s="1"/>
  <c r="N561" i="2" a="1"/>
  <c r="N561" i="2" s="1"/>
  <c r="N562" i="2" a="1"/>
  <c r="N562" i="2" s="1"/>
  <c r="N374" i="2" a="1"/>
  <c r="N374" i="2" s="1"/>
  <c r="N375" i="2" a="1"/>
  <c r="N375" i="2" s="1"/>
  <c r="N563" i="2" a="1"/>
  <c r="N563" i="2" s="1"/>
  <c r="N251" i="2" a="1"/>
  <c r="N251" i="2" s="1"/>
  <c r="N252" i="2" a="1"/>
  <c r="N252" i="2"/>
  <c r="N376" i="2" a="1"/>
  <c r="N376" i="2" s="1"/>
  <c r="N564" i="2" a="1"/>
  <c r="N564" i="2" s="1"/>
  <c r="N253" i="2" a="1"/>
  <c r="N253" i="2" s="1"/>
  <c r="N978" i="2" a="1"/>
  <c r="N978" i="2" s="1"/>
  <c r="N828" i="2" a="1"/>
  <c r="N828" i="2" s="1"/>
  <c r="N829" i="2" a="1"/>
  <c r="N829" i="2" s="1"/>
  <c r="N565" i="2" a="1"/>
  <c r="N565" i="2" s="1"/>
  <c r="N566" i="2" a="1"/>
  <c r="N566" i="2" s="1"/>
  <c r="N567" i="2" a="1"/>
  <c r="N567" i="2" s="1"/>
  <c r="N568" i="2" a="1"/>
  <c r="N568" i="2" s="1"/>
  <c r="N569" i="2" a="1"/>
  <c r="N569" i="2" s="1"/>
  <c r="N570" i="2" a="1"/>
  <c r="N570" i="2" s="1"/>
  <c r="N571" i="2" a="1"/>
  <c r="N571" i="2" s="1"/>
  <c r="N830" i="2" a="1"/>
  <c r="N830" i="2" s="1"/>
  <c r="N572" i="2" a="1"/>
  <c r="N572" i="2" s="1"/>
  <c r="N831" i="2" a="1"/>
  <c r="N831" i="2" s="1"/>
  <c r="N573" i="2" a="1"/>
  <c r="N573" i="2" s="1"/>
  <c r="N377" i="2" a="1"/>
  <c r="N377" i="2" s="1"/>
  <c r="N378" i="2" a="1"/>
  <c r="N378" i="2" s="1"/>
  <c r="N574" i="2" a="1"/>
  <c r="N574" i="2" s="1"/>
  <c r="N575" i="2" a="1"/>
  <c r="N575" i="2" s="1"/>
  <c r="N832" i="2" a="1"/>
  <c r="N832" i="2" s="1"/>
  <c r="N979" i="2" a="1"/>
  <c r="N979" i="2" s="1"/>
  <c r="N576" i="2" a="1"/>
  <c r="N576" i="2" s="1"/>
  <c r="N379" i="2" a="1"/>
  <c r="N379" i="2" s="1"/>
  <c r="N254" i="2" a="1"/>
  <c r="N254" i="2" s="1"/>
  <c r="N980" i="2" a="1"/>
  <c r="N980" i="2" s="1"/>
  <c r="N255" i="2" a="1"/>
  <c r="N255" i="2" s="1"/>
  <c r="N577" i="2" a="1"/>
  <c r="N577" i="2" s="1"/>
  <c r="N833" i="2" a="1"/>
  <c r="N833" i="2" s="1"/>
  <c r="N578" i="2" a="1"/>
  <c r="N578" i="2" s="1"/>
  <c r="N579" i="2" a="1"/>
  <c r="N579" i="2" s="1"/>
  <c r="N580" i="2" a="1"/>
  <c r="N580" i="2" s="1"/>
  <c r="N581" i="2" a="1"/>
  <c r="N581" i="2" s="1"/>
  <c r="N981" i="2" a="1"/>
  <c r="N981" i="2" s="1"/>
  <c r="N982" i="2" a="1"/>
  <c r="N982" i="2" s="1"/>
  <c r="N256" i="2" a="1"/>
  <c r="N256" i="2" s="1"/>
  <c r="N834" i="2" a="1"/>
  <c r="N834" i="2" s="1"/>
  <c r="N582" i="2" a="1"/>
  <c r="N582" i="2" s="1"/>
  <c r="N835" i="2" a="1"/>
  <c r="N835" i="2" s="1"/>
  <c r="N583" i="2" a="1"/>
  <c r="N583" i="2" s="1"/>
  <c r="N836" i="2" a="1"/>
  <c r="N836" i="2" s="1"/>
  <c r="N837" i="2" a="1"/>
  <c r="N837" i="2" s="1"/>
  <c r="N257" i="2" a="1"/>
  <c r="N257" i="2" s="1"/>
  <c r="N983" i="2" a="1"/>
  <c r="N983" i="2" s="1"/>
  <c r="N584" i="2" a="1"/>
  <c r="N584" i="2" s="1"/>
  <c r="N585" i="2" a="1"/>
  <c r="N585" i="2" s="1"/>
  <c r="N586" i="2" a="1"/>
  <c r="N586" i="2" s="1"/>
  <c r="N587" i="2" a="1"/>
  <c r="N587" i="2" s="1"/>
  <c r="N984" i="2" a="1"/>
  <c r="N984" i="2" s="1"/>
  <c r="N588" i="2" a="1"/>
  <c r="N588" i="2" s="1"/>
  <c r="N258" i="2" a="1"/>
  <c r="N258" i="2" s="1"/>
  <c r="N589" i="2" a="1"/>
  <c r="N589" i="2" s="1"/>
  <c r="N590" i="2" a="1"/>
  <c r="N590" i="2" s="1"/>
  <c r="N838" i="2" a="1"/>
  <c r="N838" i="2" s="1"/>
  <c r="N839" i="2" a="1"/>
  <c r="N839" i="2" s="1"/>
  <c r="N591" i="2" a="1"/>
  <c r="N591" i="2" s="1"/>
  <c r="N840" i="2" a="1"/>
  <c r="N840" i="2" s="1"/>
  <c r="N259" i="2" a="1"/>
  <c r="N259" i="2" s="1"/>
  <c r="N380" i="2" a="1"/>
  <c r="N380" i="2" s="1"/>
  <c r="N592" i="2" a="1"/>
  <c r="N592" i="2" s="1"/>
  <c r="N260" i="2" a="1"/>
  <c r="N260" i="2" s="1"/>
  <c r="N593" i="2" a="1"/>
  <c r="N593" i="2" s="1"/>
  <c r="N841" i="2" a="1"/>
  <c r="N841" i="2" s="1"/>
  <c r="N842" i="2" a="1"/>
  <c r="N842" i="2" s="1"/>
  <c r="N594" i="2" a="1"/>
  <c r="N594" i="2" s="1"/>
  <c r="N595" i="2" a="1"/>
  <c r="N595" i="2" s="1"/>
  <c r="N843" i="2" a="1"/>
  <c r="N843" i="2" s="1"/>
  <c r="N596" i="2" a="1"/>
  <c r="N596" i="2" s="1"/>
  <c r="N985" i="2" a="1"/>
  <c r="N985" i="2" s="1"/>
  <c r="N986" i="2" a="1"/>
  <c r="N986" i="2" s="1"/>
  <c r="N597" i="2" a="1"/>
  <c r="N597" i="2" s="1"/>
  <c r="N381" i="2" a="1"/>
  <c r="N381" i="2" s="1"/>
  <c r="N598" i="2" a="1"/>
  <c r="N598" i="2" s="1"/>
  <c r="N599" i="2" a="1"/>
  <c r="N599" i="2" s="1"/>
  <c r="N382" i="2" a="1"/>
  <c r="N382" i="2" s="1"/>
  <c r="N600" i="2" a="1"/>
  <c r="N600" i="2" s="1"/>
  <c r="N601" i="2" a="1"/>
  <c r="N601" i="2" s="1"/>
  <c r="N844" i="2" a="1"/>
  <c r="N844" i="2" s="1"/>
  <c r="N383" i="2" a="1"/>
  <c r="N383" i="2" s="1"/>
  <c r="N384" i="2" a="1"/>
  <c r="N384" i="2" s="1"/>
  <c r="N602" i="2" a="1"/>
  <c r="N602" i="2" s="1"/>
  <c r="N385" i="2" a="1"/>
  <c r="N385" i="2" s="1"/>
  <c r="N603" i="2" a="1"/>
  <c r="N603" i="2" s="1"/>
  <c r="N604" i="2" a="1"/>
  <c r="N604" i="2" s="1"/>
  <c r="N261" i="2" a="1"/>
  <c r="N261" i="2" s="1"/>
  <c r="N845" i="2" a="1"/>
  <c r="N845" i="2" s="1"/>
  <c r="N846" i="2" a="1"/>
  <c r="N846" i="2" s="1"/>
  <c r="N605" i="2" a="1"/>
  <c r="N605" i="2" s="1"/>
  <c r="N262" i="2" a="1"/>
  <c r="N262" i="2" s="1"/>
  <c r="N606" i="2" a="1"/>
  <c r="N606" i="2" s="1"/>
  <c r="N386" i="2" a="1"/>
  <c r="N386" i="2" s="1"/>
  <c r="N847" i="2" a="1"/>
  <c r="N847" i="2" s="1"/>
  <c r="N263" i="2" a="1"/>
  <c r="N263" i="2" s="1"/>
  <c r="N264" i="2" a="1"/>
  <c r="N264" i="2" s="1"/>
  <c r="N848" i="2" a="1"/>
  <c r="N848" i="2" s="1"/>
  <c r="N607" i="2" a="1"/>
  <c r="N607" i="2" s="1"/>
  <c r="N608" i="2" a="1"/>
  <c r="N608" i="2" s="1"/>
  <c r="N609" i="2" a="1"/>
  <c r="N609" i="2" s="1"/>
  <c r="N265" i="2" a="1"/>
  <c r="N265" i="2" s="1"/>
  <c r="N849" i="2" a="1"/>
  <c r="N849" i="2" s="1"/>
  <c r="N610" i="2" a="1"/>
  <c r="N610" i="2" s="1"/>
  <c r="N611" i="2" a="1"/>
  <c r="N611" i="2" s="1"/>
  <c r="N850" i="2" a="1"/>
  <c r="N850" i="2" s="1"/>
  <c r="N851" i="2" a="1"/>
  <c r="N851" i="2" s="1"/>
  <c r="N852" i="2" a="1"/>
  <c r="N852" i="2" s="1"/>
  <c r="N853" i="2" a="1"/>
  <c r="N853" i="2" s="1"/>
  <c r="N266" i="2" a="1"/>
  <c r="N266" i="2" s="1"/>
  <c r="N612" i="2" a="1"/>
  <c r="N612" i="2" s="1"/>
  <c r="N267" i="2" a="1"/>
  <c r="N267" i="2" s="1"/>
  <c r="N854" i="2" a="1"/>
  <c r="N854" i="2" s="1"/>
  <c r="N613" i="2" a="1"/>
  <c r="N613" i="2" s="1"/>
  <c r="N614" i="2" a="1"/>
  <c r="N614" i="2" s="1"/>
  <c r="N615" i="2" a="1"/>
  <c r="N615" i="2" s="1"/>
  <c r="N616" i="2" a="1"/>
  <c r="N616" i="2" s="1"/>
  <c r="N617" i="2" a="1"/>
  <c r="N617" i="2" s="1"/>
  <c r="N855" i="2" a="1"/>
  <c r="N855" i="2" s="1"/>
  <c r="N618" i="2" a="1"/>
  <c r="N618" i="2" s="1"/>
  <c r="N619" i="2" a="1"/>
  <c r="N619" i="2" s="1"/>
  <c r="N856" i="2" a="1"/>
  <c r="N856" i="2" s="1"/>
  <c r="N857" i="2" a="1"/>
  <c r="N857" i="2" s="1"/>
  <c r="N987" i="2" a="1"/>
  <c r="N987" i="2" s="1"/>
  <c r="N620" i="2" a="1"/>
  <c r="N620" i="2" s="1"/>
  <c r="N268" i="2" a="1"/>
  <c r="N268" i="2" s="1"/>
  <c r="N621" i="2" a="1"/>
  <c r="N621" i="2" s="1"/>
  <c r="N988" i="2" a="1"/>
  <c r="N988" i="2" s="1"/>
  <c r="N622" i="2" a="1"/>
  <c r="N622" i="2" s="1"/>
  <c r="N623" i="2" a="1"/>
  <c r="N623" i="2" s="1"/>
  <c r="N387" i="2" a="1"/>
  <c r="N387" i="2" s="1"/>
  <c r="N858" i="2" a="1"/>
  <c r="N858" i="2" s="1"/>
  <c r="N989" i="2" a="1"/>
  <c r="N989" i="2" s="1"/>
  <c r="N624" i="2" a="1"/>
  <c r="N624" i="2" s="1"/>
  <c r="N625" i="2" a="1"/>
  <c r="N625" i="2" s="1"/>
  <c r="N626" i="2" a="1"/>
  <c r="N626" i="2" s="1"/>
  <c r="N627" i="2" a="1"/>
  <c r="N627" i="2" s="1"/>
  <c r="N628" i="2" a="1"/>
  <c r="N628" i="2" s="1"/>
  <c r="N629" i="2" a="1"/>
  <c r="N629" i="2" s="1"/>
  <c r="N859" i="2" a="1"/>
  <c r="N859" i="2" s="1"/>
  <c r="N630" i="2" a="1"/>
  <c r="N630" i="2" s="1"/>
  <c r="N388" i="2" a="1"/>
  <c r="N388" i="2" s="1"/>
  <c r="N389" i="2" a="1"/>
  <c r="N389" i="2" s="1"/>
  <c r="N631" i="2" a="1"/>
  <c r="N631" i="2" s="1"/>
  <c r="N990" i="2" a="1"/>
  <c r="N990" i="2" s="1"/>
  <c r="N632" i="2" a="1"/>
  <c r="N632" i="2" s="1"/>
  <c r="N390" i="2" a="1"/>
  <c r="N390" i="2" s="1"/>
  <c r="N860" i="2" a="1"/>
  <c r="N860" i="2" s="1"/>
  <c r="N269" i="2" a="1"/>
  <c r="N269" i="2" s="1"/>
  <c r="N633" i="2" a="1"/>
  <c r="N633" i="2" s="1"/>
  <c r="N861" i="2" a="1"/>
  <c r="N861" i="2" s="1"/>
  <c r="N991" i="2" a="1"/>
  <c r="N991" i="2" s="1"/>
  <c r="N862" i="2" a="1"/>
  <c r="N862" i="2" s="1"/>
  <c r="N992" i="2" a="1"/>
  <c r="N992" i="2" s="1"/>
  <c r="N634" i="2" a="1"/>
  <c r="N634" i="2" s="1"/>
  <c r="N863" i="2" a="1"/>
  <c r="N863" i="2" s="1"/>
  <c r="N635" i="2" a="1"/>
  <c r="N635" i="2" s="1"/>
  <c r="N636" i="2" a="1"/>
  <c r="N636" i="2" s="1"/>
  <c r="N270" i="2" a="1"/>
  <c r="N270" i="2" s="1"/>
  <c r="N864" i="2" a="1"/>
  <c r="N864" i="2" s="1"/>
  <c r="N637" i="2" a="1"/>
  <c r="N637" i="2" s="1"/>
  <c r="N865" i="2" a="1"/>
  <c r="N865" i="2" s="1"/>
  <c r="N271" i="2" a="1"/>
  <c r="N271" i="2" s="1"/>
  <c r="N272" i="2" a="1"/>
  <c r="N272" i="2" s="1"/>
  <c r="N273" i="2" a="1"/>
  <c r="N273" i="2" s="1"/>
  <c r="N866" i="2" a="1"/>
  <c r="N866" i="2" s="1"/>
  <c r="N391" i="2" a="1"/>
  <c r="N391" i="2" s="1"/>
  <c r="N867" i="2" a="1"/>
  <c r="N867" i="2" s="1"/>
  <c r="N392" i="2" a="1"/>
  <c r="N392" i="2" s="1"/>
  <c r="N638" i="2" a="1"/>
  <c r="N638" i="2" s="1"/>
  <c r="N639" i="2" a="1"/>
  <c r="N639" i="2" s="1"/>
  <c r="N274" i="2" a="1"/>
  <c r="N274" i="2" s="1"/>
  <c r="N993" i="2" a="1"/>
  <c r="N993" i="2" s="1"/>
  <c r="N640" i="2" a="1"/>
  <c r="N640" i="2" s="1"/>
  <c r="N641" i="2" a="1"/>
  <c r="N641" i="2" s="1"/>
  <c r="N642" i="2" a="1"/>
  <c r="N642" i="2" s="1"/>
  <c r="N868" i="2" a="1"/>
  <c r="N868" i="2" s="1"/>
  <c r="N275" i="2" a="1"/>
  <c r="N275" i="2" s="1"/>
  <c r="N643" i="2" a="1"/>
  <c r="N643" i="2" s="1"/>
  <c r="N276" i="2" a="1"/>
  <c r="N276" i="2" s="1"/>
  <c r="N644" i="2" a="1"/>
  <c r="N644" i="2" s="1"/>
  <c r="N869" i="2" a="1"/>
  <c r="N869" i="2" s="1"/>
  <c r="N393" i="2" a="1"/>
  <c r="N393" i="2" s="1"/>
  <c r="N394" i="2" a="1"/>
  <c r="N394" i="2" s="1"/>
  <c r="N395" i="2" a="1"/>
  <c r="N395" i="2" s="1"/>
  <c r="N277" i="2" a="1"/>
  <c r="N277" i="2" s="1"/>
  <c r="N645" i="2" a="1"/>
  <c r="N645" i="2" s="1"/>
  <c r="N396" i="2" a="1"/>
  <c r="N396" i="2" s="1"/>
  <c r="N278" i="2" a="1"/>
  <c r="N278" i="2" s="1"/>
  <c r="N646" i="2" a="1"/>
  <c r="N646" i="2" s="1"/>
  <c r="N870" i="2" a="1"/>
  <c r="N870" i="2" s="1"/>
  <c r="N647" i="2" a="1"/>
  <c r="N647" i="2" s="1"/>
  <c r="N648" i="2" a="1"/>
  <c r="N648" i="2" s="1"/>
  <c r="N871" i="2" a="1"/>
  <c r="N871" i="2" s="1"/>
  <c r="N994" i="2" a="1"/>
  <c r="N994" i="2" s="1"/>
  <c r="N649" i="2" a="1"/>
  <c r="N649" i="2" s="1"/>
  <c r="N650" i="2" a="1"/>
  <c r="N650" i="2" s="1"/>
  <c r="N651" i="2" a="1"/>
  <c r="N651" i="2" s="1"/>
  <c r="N872" i="2" a="1"/>
  <c r="N872" i="2" s="1"/>
  <c r="N873" i="2" a="1"/>
  <c r="N873" i="2" s="1"/>
  <c r="N279" i="2" a="1"/>
  <c r="N279" i="2" s="1"/>
  <c r="N652" i="2" a="1"/>
  <c r="N652" i="2" s="1"/>
  <c r="N653" i="2" a="1"/>
  <c r="N653" i="2" s="1"/>
  <c r="N874" i="2" a="1"/>
  <c r="N874" i="2" s="1"/>
  <c r="N654" i="2" a="1"/>
  <c r="N654" i="2" s="1"/>
  <c r="N397" i="2" a="1"/>
  <c r="N397" i="2" s="1"/>
  <c r="N398" i="2" a="1"/>
  <c r="N398" i="2" s="1"/>
  <c r="N655" i="2" a="1"/>
  <c r="N655" i="2" s="1"/>
  <c r="N399" i="2" a="1"/>
  <c r="N399" i="2" s="1"/>
  <c r="N656" i="2" a="1"/>
  <c r="N656" i="2" s="1"/>
  <c r="N875" i="2" a="1"/>
  <c r="N875" i="2" s="1"/>
  <c r="N876" i="2" a="1"/>
  <c r="N876" i="2" s="1"/>
  <c r="N657" i="2" a="1"/>
  <c r="N657" i="2" s="1"/>
  <c r="N877" i="2" a="1"/>
  <c r="N877" i="2" s="1"/>
  <c r="N400" i="2" a="1"/>
  <c r="N400" i="2" s="1"/>
  <c r="N878" i="2" a="1"/>
  <c r="N878" i="2" s="1"/>
  <c r="N658" i="2" a="1"/>
  <c r="N658" i="2" s="1"/>
  <c r="N401" i="2" a="1"/>
  <c r="N401" i="2" s="1"/>
  <c r="N659" i="2" a="1"/>
  <c r="N659" i="2" s="1"/>
  <c r="N660" i="2" a="1"/>
  <c r="N660" i="2" s="1"/>
  <c r="N995" i="2" a="1"/>
  <c r="N995" i="2" s="1"/>
  <c r="N661" i="2" a="1"/>
  <c r="N661" i="2" s="1"/>
  <c r="N879" i="2" a="1"/>
  <c r="N879" i="2" s="1"/>
  <c r="N280" i="2" a="1"/>
  <c r="N280" i="2" s="1"/>
  <c r="N662" i="2" a="1"/>
  <c r="N662" i="2" s="1"/>
  <c r="N880" i="2" a="1"/>
  <c r="N880" i="2" s="1"/>
  <c r="N663" i="2" a="1"/>
  <c r="N663" i="2" s="1"/>
  <c r="N402" i="2" a="1"/>
  <c r="N402" i="2" s="1"/>
  <c r="N881" i="2" a="1"/>
  <c r="N881" i="2" s="1"/>
  <c r="N882" i="2" a="1"/>
  <c r="N882" i="2" s="1"/>
  <c r="N664" i="2" a="1"/>
  <c r="N664" i="2" s="1"/>
  <c r="N665" i="2" a="1"/>
  <c r="N665" i="2" s="1"/>
  <c r="N666" i="2" a="1"/>
  <c r="N666" i="2" s="1"/>
  <c r="N667" i="2" a="1"/>
  <c r="N667" i="2" s="1"/>
  <c r="N883" i="2" a="1"/>
  <c r="N883" i="2" s="1"/>
  <c r="N884" i="2" a="1"/>
  <c r="N884" i="2" s="1"/>
  <c r="N668" i="2" a="1"/>
  <c r="N668" i="2" s="1"/>
  <c r="N669" i="2" a="1"/>
  <c r="N669" i="2" s="1"/>
  <c r="N670" i="2" a="1"/>
  <c r="N670" i="2" s="1"/>
  <c r="N671" i="2" a="1"/>
  <c r="N671" i="2" s="1"/>
  <c r="N672" i="2" a="1"/>
  <c r="N672" i="2" s="1"/>
  <c r="N885" i="2" a="1"/>
  <c r="N885" i="2" s="1"/>
  <c r="N403" i="2" a="1"/>
  <c r="N403" i="2" s="1"/>
  <c r="N673" i="2" a="1"/>
  <c r="N673" i="2" s="1"/>
  <c r="N674" i="2" a="1"/>
  <c r="N674" i="2" s="1"/>
  <c r="N886" i="2" a="1"/>
  <c r="N886" i="2" s="1"/>
  <c r="N675" i="2" a="1"/>
  <c r="N675" i="2" s="1"/>
  <c r="N887" i="2" a="1"/>
  <c r="N887" i="2" s="1"/>
  <c r="N888" i="2" a="1"/>
  <c r="N888" i="2" s="1"/>
  <c r="N404" i="2" a="1"/>
  <c r="N404" i="2" s="1"/>
  <c r="N405" i="2" a="1"/>
  <c r="N405" i="2" s="1"/>
  <c r="N676" i="2" a="1"/>
  <c r="N676" i="2" s="1"/>
  <c r="N677" i="2" a="1"/>
  <c r="N677" i="2" s="1"/>
  <c r="N678" i="2" a="1"/>
  <c r="N678" i="2" s="1"/>
  <c r="N679" i="2" a="1"/>
  <c r="N679" i="2" s="1"/>
  <c r="N680" i="2" a="1"/>
  <c r="N680" i="2" s="1"/>
  <c r="N889" i="2" a="1"/>
  <c r="N889" i="2" s="1"/>
  <c r="N681" i="2" a="1"/>
  <c r="N681" i="2" s="1"/>
  <c r="N890" i="2" a="1"/>
  <c r="N890" i="2" s="1"/>
  <c r="N682" i="2" a="1"/>
  <c r="N682" i="2" s="1"/>
  <c r="N683" i="2" a="1"/>
  <c r="N683" i="2" s="1"/>
  <c r="N406" i="2" a="1"/>
  <c r="N406" i="2" s="1"/>
  <c r="N684" i="2" a="1"/>
  <c r="N684" i="2" s="1"/>
  <c r="N996" i="2" a="1"/>
  <c r="N996" i="2" s="1"/>
  <c r="N997" i="2" a="1"/>
  <c r="N997" i="2" s="1"/>
  <c r="N685" i="2" a="1"/>
  <c r="N685" i="2" s="1"/>
  <c r="N407" i="2" a="1"/>
  <c r="N407" i="2" s="1"/>
  <c r="N686" i="2" a="1"/>
  <c r="N686" i="2" s="1"/>
  <c r="N891" i="2" a="1"/>
  <c r="N891" i="2" s="1"/>
  <c r="N892" i="2" a="1"/>
  <c r="N892" i="2" s="1"/>
  <c r="N408" i="2" a="1"/>
  <c r="N408" i="2" s="1"/>
  <c r="N281" i="2" a="1"/>
  <c r="N281" i="2" s="1"/>
  <c r="N687" i="2" a="1"/>
  <c r="N687" i="2" s="1"/>
  <c r="N688" i="2" a="1"/>
  <c r="N688" i="2" s="1"/>
  <c r="N689" i="2" a="1"/>
  <c r="N689" i="2" s="1"/>
  <c r="N282" i="2" a="1"/>
  <c r="N282" i="2" s="1"/>
  <c r="N690" i="2" a="1"/>
  <c r="N690" i="2" s="1"/>
  <c r="N691" i="2" a="1"/>
  <c r="N691" i="2" s="1"/>
  <c r="N692" i="2" a="1"/>
  <c r="N692" i="2" s="1"/>
  <c r="N693" i="2" a="1"/>
  <c r="N693" i="2" s="1"/>
  <c r="N409" i="2" a="1"/>
  <c r="N409" i="2" s="1"/>
  <c r="N410" i="2" a="1"/>
  <c r="N410" i="2" s="1"/>
  <c r="N893" i="2" a="1"/>
  <c r="N893" i="2" s="1"/>
  <c r="N411" i="2" a="1"/>
  <c r="N411" i="2" s="1"/>
  <c r="N998" i="2" a="1"/>
  <c r="N998" i="2" s="1"/>
  <c r="N894" i="2" a="1"/>
  <c r="N894" i="2" s="1"/>
  <c r="N999" i="2" a="1"/>
  <c r="N999" i="2" s="1"/>
  <c r="N694" i="2" a="1"/>
  <c r="N694" i="2" s="1"/>
  <c r="N895" i="2" a="1"/>
  <c r="N895" i="2" s="1"/>
  <c r="N896" i="2" a="1"/>
  <c r="N896" i="2" s="1"/>
  <c r="N695" i="2" a="1"/>
  <c r="N695" i="2" s="1"/>
  <c r="N696" i="2" a="1"/>
  <c r="N696" i="2" s="1"/>
  <c r="N697" i="2" a="1"/>
  <c r="N697" i="2" s="1"/>
  <c r="N283" i="2" a="1"/>
  <c r="N283" i="2" s="1"/>
  <c r="N698" i="2" a="1"/>
  <c r="N698" i="2" s="1"/>
  <c r="N412" i="2" a="1"/>
  <c r="N412" i="2" s="1"/>
  <c r="N1000" i="2" a="1"/>
  <c r="N1000" i="2" s="1"/>
  <c r="N413" i="2" a="1"/>
  <c r="N413" i="2" s="1"/>
  <c r="N699" i="2" a="1"/>
  <c r="N699" i="2"/>
  <c r="N700" i="2" a="1"/>
  <c r="N700" i="2" s="1"/>
  <c r="N701" i="2" a="1"/>
  <c r="N701" i="2" s="1"/>
  <c r="N1001" i="2" a="1"/>
  <c r="N1001" i="2" s="1"/>
  <c r="N702" i="2" a="1"/>
  <c r="N702" i="2" s="1"/>
  <c r="P703" i="2"/>
  <c r="P2" i="2"/>
  <c r="P284" i="2"/>
  <c r="P414" i="2"/>
  <c r="P3" i="2"/>
  <c r="P4" i="2"/>
  <c r="P897" i="2"/>
  <c r="P704" i="2"/>
  <c r="P5" i="2"/>
  <c r="P898" i="2"/>
  <c r="P6" i="2"/>
  <c r="P285" i="2"/>
  <c r="P899" i="2"/>
  <c r="P705" i="2"/>
  <c r="P415" i="2"/>
  <c r="P7" i="2"/>
  <c r="P8" i="2"/>
  <c r="P9" i="2"/>
  <c r="P706" i="2"/>
  <c r="P10" i="2"/>
  <c r="P707" i="2"/>
  <c r="P286" i="2"/>
  <c r="P708" i="2"/>
  <c r="P287" i="2"/>
  <c r="P709" i="2"/>
  <c r="P11" i="2"/>
  <c r="P12" i="2"/>
  <c r="P900" i="2"/>
  <c r="P416" i="2"/>
  <c r="P13" i="2"/>
  <c r="P14" i="2"/>
  <c r="P15" i="2"/>
  <c r="P16" i="2"/>
  <c r="P288" i="2"/>
  <c r="P289" i="2"/>
  <c r="P17" i="2"/>
  <c r="P18" i="2"/>
  <c r="P19" i="2"/>
  <c r="P20" i="2"/>
  <c r="P21" i="2"/>
  <c r="P22" i="2"/>
  <c r="P710" i="2"/>
  <c r="P23" i="2"/>
  <c r="P901" i="2"/>
  <c r="P24" i="2"/>
  <c r="P25" i="2"/>
  <c r="P417" i="2"/>
  <c r="P711" i="2"/>
  <c r="P26" i="2"/>
  <c r="P712" i="2"/>
  <c r="P27" i="2"/>
  <c r="P290" i="2"/>
  <c r="P28" i="2"/>
  <c r="P291" i="2"/>
  <c r="P418" i="2"/>
  <c r="P292" i="2"/>
  <c r="P713" i="2"/>
  <c r="P902" i="2"/>
  <c r="P714" i="2"/>
  <c r="P419" i="2"/>
  <c r="P29" i="2"/>
  <c r="P30" i="2"/>
  <c r="P715" i="2"/>
  <c r="P420" i="2"/>
  <c r="P31" i="2"/>
  <c r="P32" i="2"/>
  <c r="P716" i="2"/>
  <c r="P33" i="2"/>
  <c r="P34" i="2"/>
  <c r="P35" i="2"/>
  <c r="P903" i="2"/>
  <c r="P36" i="2"/>
  <c r="P904" i="2"/>
  <c r="P37" i="2"/>
  <c r="P38" i="2"/>
  <c r="P905" i="2"/>
  <c r="P39" i="2"/>
  <c r="P293" i="2"/>
  <c r="P294" i="2"/>
  <c r="P717" i="2"/>
  <c r="P40" i="2"/>
  <c r="P41" i="2"/>
  <c r="P42" i="2"/>
  <c r="P43" i="2"/>
  <c r="P718" i="2"/>
  <c r="P44" i="2"/>
  <c r="P906" i="2"/>
  <c r="P295" i="2"/>
  <c r="P45" i="2"/>
  <c r="P46" i="2"/>
  <c r="P47" i="2"/>
  <c r="P48" i="2"/>
  <c r="P421" i="2"/>
  <c r="P49" i="2"/>
  <c r="P50" i="2"/>
  <c r="P296" i="2"/>
  <c r="P51" i="2"/>
  <c r="P719" i="2"/>
  <c r="P720" i="2"/>
  <c r="P52" i="2"/>
  <c r="P53" i="2"/>
  <c r="P422" i="2"/>
  <c r="P54" i="2"/>
  <c r="P423" i="2"/>
  <c r="P424" i="2"/>
  <c r="P55" i="2"/>
  <c r="P425" i="2"/>
  <c r="P721" i="2"/>
  <c r="P722" i="2"/>
  <c r="P723" i="2"/>
  <c r="P56" i="2"/>
  <c r="P426" i="2"/>
  <c r="P724" i="2"/>
  <c r="P907" i="2"/>
  <c r="P57" i="2"/>
  <c r="P58" i="2"/>
  <c r="P59" i="2"/>
  <c r="P60" i="2"/>
  <c r="P297" i="2"/>
  <c r="P61" i="2"/>
  <c r="P725" i="2"/>
  <c r="P908" i="2"/>
  <c r="P298" i="2"/>
  <c r="P909" i="2"/>
  <c r="P726" i="2"/>
  <c r="P299" i="2"/>
  <c r="P62" i="2"/>
  <c r="P63" i="2"/>
  <c r="P64" i="2"/>
  <c r="P65" i="2"/>
  <c r="P427" i="2"/>
  <c r="P300" i="2"/>
  <c r="P727" i="2"/>
  <c r="P728" i="2"/>
  <c r="P66" i="2"/>
  <c r="P67" i="2"/>
  <c r="P68" i="2"/>
  <c r="P69" i="2"/>
  <c r="P70" i="2"/>
  <c r="P71" i="2"/>
  <c r="P729" i="2"/>
  <c r="P72" i="2"/>
  <c r="P730" i="2"/>
  <c r="P301" i="2"/>
  <c r="P73" i="2"/>
  <c r="P731" i="2"/>
  <c r="P732" i="2"/>
  <c r="P733" i="2"/>
  <c r="P74" i="2"/>
  <c r="P75" i="2"/>
  <c r="P428" i="2"/>
  <c r="P910" i="2"/>
  <c r="P76" i="2"/>
  <c r="P911" i="2"/>
  <c r="P302" i="2"/>
  <c r="P77" i="2"/>
  <c r="P912" i="2"/>
  <c r="P78" i="2"/>
  <c r="P79" i="2"/>
  <c r="P80" i="2"/>
  <c r="P429" i="2"/>
  <c r="P81" i="2"/>
  <c r="P430" i="2"/>
  <c r="P734" i="2"/>
  <c r="P82" i="2"/>
  <c r="P83" i="2"/>
  <c r="P303" i="2"/>
  <c r="P913" i="2"/>
  <c r="P431" i="2"/>
  <c r="P84" i="2"/>
  <c r="P914" i="2"/>
  <c r="P304" i="2"/>
  <c r="P85" i="2"/>
  <c r="P86" i="2"/>
  <c r="P735" i="2"/>
  <c r="P305" i="2"/>
  <c r="P87" i="2"/>
  <c r="P915" i="2"/>
  <c r="P916" i="2"/>
  <c r="P88" i="2"/>
  <c r="P89" i="2"/>
  <c r="P90" i="2"/>
  <c r="P91" i="2"/>
  <c r="P736" i="2"/>
  <c r="P917" i="2"/>
  <c r="P306" i="2"/>
  <c r="P92" i="2"/>
  <c r="P307" i="2"/>
  <c r="P432" i="2"/>
  <c r="P93" i="2"/>
  <c r="P94" i="2"/>
  <c r="P308" i="2"/>
  <c r="P309" i="2"/>
  <c r="P433" i="2"/>
  <c r="P95" i="2"/>
  <c r="P96" i="2"/>
  <c r="P737" i="2"/>
  <c r="P434" i="2"/>
  <c r="P918" i="2"/>
  <c r="P310" i="2"/>
  <c r="P435" i="2"/>
  <c r="P97" i="2"/>
  <c r="P738" i="2"/>
  <c r="P436" i="2"/>
  <c r="P311" i="2"/>
  <c r="P98" i="2"/>
  <c r="P312" i="2"/>
  <c r="P99" i="2"/>
  <c r="P739" i="2"/>
  <c r="P100" i="2"/>
  <c r="P313" i="2"/>
  <c r="P740" i="2"/>
  <c r="P101" i="2"/>
  <c r="P437" i="2"/>
  <c r="P102" i="2"/>
  <c r="P314" i="2"/>
  <c r="P103" i="2"/>
  <c r="P104" i="2"/>
  <c r="P105" i="2"/>
  <c r="P106" i="2"/>
  <c r="P438" i="2"/>
  <c r="P107" i="2"/>
  <c r="P108" i="2"/>
  <c r="P439" i="2"/>
  <c r="P109" i="2"/>
  <c r="P110" i="2"/>
  <c r="P111" i="2"/>
  <c r="P112" i="2"/>
  <c r="P113" i="2"/>
  <c r="P315" i="2"/>
  <c r="P919" i="2"/>
  <c r="P741" i="2"/>
  <c r="P114" i="2"/>
  <c r="P115" i="2"/>
  <c r="P316" i="2"/>
  <c r="P116" i="2"/>
  <c r="P117" i="2"/>
  <c r="P118" i="2"/>
  <c r="P440" i="2"/>
  <c r="P119" i="2"/>
  <c r="P120" i="2"/>
  <c r="P121" i="2"/>
  <c r="P122" i="2"/>
  <c r="P123" i="2"/>
  <c r="P920" i="2"/>
  <c r="P921" i="2"/>
  <c r="P922" i="2"/>
  <c r="P923" i="2"/>
  <c r="P124" i="2"/>
  <c r="P441" i="2"/>
  <c r="P924" i="2"/>
  <c r="P925" i="2"/>
  <c r="P442" i="2"/>
  <c r="P926" i="2"/>
  <c r="P125" i="2"/>
  <c r="P126" i="2"/>
  <c r="P127" i="2"/>
  <c r="P742" i="2"/>
  <c r="P927" i="2"/>
  <c r="P928" i="2"/>
  <c r="P128" i="2"/>
  <c r="P743" i="2"/>
  <c r="P129" i="2"/>
  <c r="P443" i="2"/>
  <c r="P744" i="2"/>
  <c r="P130" i="2"/>
  <c r="P131" i="2"/>
  <c r="P929" i="2"/>
  <c r="P444" i="2"/>
  <c r="P745" i="2"/>
  <c r="P132" i="2"/>
  <c r="P133" i="2"/>
  <c r="P134" i="2"/>
  <c r="P135" i="2"/>
  <c r="P136" i="2"/>
  <c r="P317" i="2"/>
  <c r="P137" i="2"/>
  <c r="P138" i="2"/>
  <c r="P930" i="2"/>
  <c r="P139" i="2"/>
  <c r="P140" i="2"/>
  <c r="P141" i="2"/>
  <c r="P142" i="2"/>
  <c r="P445" i="2"/>
  <c r="P143" i="2"/>
  <c r="P446" i="2"/>
  <c r="P931" i="2"/>
  <c r="P144" i="2"/>
  <c r="P932" i="2"/>
  <c r="P145" i="2"/>
  <c r="P447" i="2"/>
  <c r="P746" i="2"/>
  <c r="P747" i="2"/>
  <c r="P146" i="2"/>
  <c r="P147" i="2"/>
  <c r="P933" i="2"/>
  <c r="P448" i="2"/>
  <c r="P934" i="2"/>
  <c r="P318" i="2"/>
  <c r="P148" i="2"/>
  <c r="P149" i="2"/>
  <c r="P748" i="2"/>
  <c r="P150" i="2"/>
  <c r="P151" i="2"/>
  <c r="P319" i="2"/>
  <c r="P152" i="2"/>
  <c r="P320" i="2"/>
  <c r="P153" i="2"/>
  <c r="P749" i="2"/>
  <c r="P154" i="2"/>
  <c r="P935" i="2"/>
  <c r="P449" i="2"/>
  <c r="P155" i="2"/>
  <c r="P750" i="2"/>
  <c r="P321" i="2"/>
  <c r="P450" i="2"/>
  <c r="P751" i="2"/>
  <c r="P156" i="2"/>
  <c r="P936" i="2"/>
  <c r="P157" i="2"/>
  <c r="P937" i="2"/>
  <c r="P938" i="2"/>
  <c r="P158" i="2"/>
  <c r="P752" i="2"/>
  <c r="P322" i="2"/>
  <c r="P753" i="2"/>
  <c r="P159" i="2"/>
  <c r="P160" i="2"/>
  <c r="P754" i="2"/>
  <c r="P323" i="2"/>
  <c r="P324" i="2"/>
  <c r="P161" i="2"/>
  <c r="P162" i="2"/>
  <c r="P939" i="2"/>
  <c r="P325" i="2"/>
  <c r="P326" i="2"/>
  <c r="P163" i="2"/>
  <c r="P164" i="2"/>
  <c r="P940" i="2"/>
  <c r="P165" i="2"/>
  <c r="P166" i="2"/>
  <c r="P167" i="2"/>
  <c r="P168" i="2"/>
  <c r="P169" i="2"/>
  <c r="P170" i="2"/>
  <c r="P171" i="2"/>
  <c r="P755" i="2"/>
  <c r="P451" i="2"/>
  <c r="P172" i="2"/>
  <c r="P173" i="2"/>
  <c r="P174" i="2"/>
  <c r="P175" i="2"/>
  <c r="P327" i="2"/>
  <c r="P756" i="2"/>
  <c r="P176" i="2"/>
  <c r="P328" i="2"/>
  <c r="P941" i="2"/>
  <c r="P177" i="2"/>
  <c r="P329" i="2"/>
  <c r="P330" i="2"/>
  <c r="P942" i="2"/>
  <c r="P178" i="2"/>
  <c r="P757" i="2"/>
  <c r="P758" i="2"/>
  <c r="P179" i="2"/>
  <c r="P759" i="2"/>
  <c r="P452" i="2"/>
  <c r="P943" i="2"/>
  <c r="P180" i="2"/>
  <c r="P181" i="2"/>
  <c r="P944" i="2"/>
  <c r="P331" i="2"/>
  <c r="P760" i="2"/>
  <c r="P182" i="2"/>
  <c r="P332" i="2"/>
  <c r="P761" i="2"/>
  <c r="P183" i="2"/>
  <c r="P945" i="2"/>
  <c r="P184" i="2"/>
  <c r="P453" i="2"/>
  <c r="P454" i="2"/>
  <c r="P185" i="2"/>
  <c r="P333" i="2"/>
  <c r="P762" i="2"/>
  <c r="P186" i="2"/>
  <c r="P187" i="2"/>
  <c r="P946" i="2"/>
  <c r="P188" i="2"/>
  <c r="P189" i="2"/>
  <c r="P334" i="2"/>
  <c r="P455" i="2"/>
  <c r="P456" i="2"/>
  <c r="P190" i="2"/>
  <c r="P191" i="2"/>
  <c r="P763" i="2"/>
  <c r="P192" i="2"/>
  <c r="P457" i="2"/>
  <c r="P193" i="2"/>
  <c r="P194" i="2"/>
  <c r="P764" i="2"/>
  <c r="P947" i="2"/>
  <c r="P765" i="2"/>
  <c r="P195" i="2"/>
  <c r="P196" i="2"/>
  <c r="P197" i="2"/>
  <c r="P198" i="2"/>
  <c r="P766" i="2"/>
  <c r="P335" i="2"/>
  <c r="P767" i="2"/>
  <c r="P948" i="2"/>
  <c r="P199" i="2"/>
  <c r="P458" i="2"/>
  <c r="P768" i="2"/>
  <c r="P200" i="2"/>
  <c r="P769" i="2"/>
  <c r="P336" i="2"/>
  <c r="P459" i="2"/>
  <c r="P201" i="2"/>
  <c r="P202" i="2"/>
  <c r="P203" i="2"/>
  <c r="P949" i="2"/>
  <c r="P204" i="2"/>
  <c r="P950" i="2"/>
  <c r="P205" i="2"/>
  <c r="P206" i="2"/>
  <c r="P770" i="2"/>
  <c r="P207" i="2"/>
  <c r="P337" i="2"/>
  <c r="P951" i="2"/>
  <c r="P208" i="2"/>
  <c r="P209" i="2"/>
  <c r="P210" i="2"/>
  <c r="P952" i="2"/>
  <c r="P211" i="2"/>
  <c r="P212" i="2"/>
  <c r="P213" i="2"/>
  <c r="P338" i="2"/>
  <c r="P214" i="2"/>
  <c r="P339" i="2"/>
  <c r="P460" i="2"/>
  <c r="P340" i="2"/>
  <c r="P461" i="2"/>
  <c r="P341" i="2"/>
  <c r="P771" i="2"/>
  <c r="P215" i="2"/>
  <c r="P772" i="2"/>
  <c r="P953" i="2"/>
  <c r="P773" i="2"/>
  <c r="P216" i="2"/>
  <c r="P774" i="2"/>
  <c r="P217" i="2"/>
  <c r="P775" i="2"/>
  <c r="P218" i="2"/>
  <c r="P462" i="2"/>
  <c r="P219" i="2"/>
  <c r="P342" i="2"/>
  <c r="P954" i="2"/>
  <c r="P220" i="2"/>
  <c r="P955" i="2"/>
  <c r="P343" i="2"/>
  <c r="P221" i="2"/>
  <c r="P956" i="2"/>
  <c r="P776" i="2"/>
  <c r="P222" i="2"/>
  <c r="P223" i="2"/>
  <c r="P777" i="2"/>
  <c r="P224" i="2"/>
  <c r="P957" i="2"/>
  <c r="P344" i="2"/>
  <c r="P225" i="2"/>
  <c r="P226" i="2"/>
  <c r="P463" i="2"/>
  <c r="P778" i="2"/>
  <c r="P227" i="2"/>
  <c r="P345" i="2"/>
  <c r="P228" i="2"/>
  <c r="P464" i="2"/>
  <c r="P465" i="2"/>
  <c r="P229" i="2"/>
  <c r="P779" i="2"/>
  <c r="P346" i="2"/>
  <c r="P780" i="2"/>
  <c r="P781" i="2"/>
  <c r="P230" i="2"/>
  <c r="P231" i="2"/>
  <c r="P232" i="2"/>
  <c r="P347" i="2"/>
  <c r="P782" i="2"/>
  <c r="P233" i="2"/>
  <c r="P234" i="2"/>
  <c r="P466" i="2"/>
  <c r="P467" i="2"/>
  <c r="P783" i="2"/>
  <c r="P468" i="2"/>
  <c r="P469" i="2"/>
  <c r="P470" i="2"/>
  <c r="P471" i="2"/>
  <c r="P472" i="2"/>
  <c r="P348" i="2"/>
  <c r="P784" i="2"/>
  <c r="P473" i="2"/>
  <c r="P785" i="2"/>
  <c r="P786" i="2"/>
  <c r="P958" i="2"/>
  <c r="P474" i="2"/>
  <c r="P959" i="2"/>
  <c r="P475" i="2"/>
  <c r="P787" i="2"/>
  <c r="P476" i="2"/>
  <c r="P349" i="2"/>
  <c r="P477" i="2"/>
  <c r="P350" i="2"/>
  <c r="P478" i="2"/>
  <c r="P479" i="2"/>
  <c r="P788" i="2"/>
  <c r="P480" i="2"/>
  <c r="P481" i="2"/>
  <c r="P482" i="2"/>
  <c r="P351" i="2"/>
  <c r="P352" i="2"/>
  <c r="P960" i="2"/>
  <c r="P789" i="2"/>
  <c r="P483" i="2"/>
  <c r="P353" i="2"/>
  <c r="P354" i="2"/>
  <c r="P484" i="2"/>
  <c r="P961" i="2"/>
  <c r="P790" i="2"/>
  <c r="P235" i="2"/>
  <c r="P485" i="2"/>
  <c r="P486" i="2"/>
  <c r="P236" i="2"/>
  <c r="P487" i="2"/>
  <c r="P488" i="2"/>
  <c r="P791" i="2"/>
  <c r="P792" i="2"/>
  <c r="P355" i="2"/>
  <c r="P793" i="2"/>
  <c r="P356" i="2"/>
  <c r="P489" i="2"/>
  <c r="P490" i="2"/>
  <c r="P794" i="2"/>
  <c r="P795" i="2"/>
  <c r="P491" i="2"/>
  <c r="P962" i="2"/>
  <c r="P492" i="2"/>
  <c r="P493" i="2"/>
  <c r="P494" i="2"/>
  <c r="P357" i="2"/>
  <c r="P963" i="2"/>
  <c r="P495" i="2"/>
  <c r="P796" i="2"/>
  <c r="P496" i="2"/>
  <c r="P797" i="2"/>
  <c r="P497" i="2"/>
  <c r="P798" i="2"/>
  <c r="P358" i="2"/>
  <c r="P799" i="2"/>
  <c r="P800" i="2"/>
  <c r="P498" i="2"/>
  <c r="P499" i="2"/>
  <c r="P237" i="2"/>
  <c r="P500" i="2"/>
  <c r="P238" i="2"/>
  <c r="P239" i="2"/>
  <c r="P801" i="2"/>
  <c r="P501" i="2"/>
  <c r="P802" i="2"/>
  <c r="P502" i="2"/>
  <c r="P803" i="2"/>
  <c r="P503" i="2"/>
  <c r="P804" i="2"/>
  <c r="P240" i="2"/>
  <c r="P504" i="2"/>
  <c r="P359" i="2"/>
  <c r="P505" i="2"/>
  <c r="P805" i="2"/>
  <c r="P964" i="2"/>
  <c r="P506" i="2"/>
  <c r="P806" i="2"/>
  <c r="P507" i="2"/>
  <c r="P807" i="2"/>
  <c r="P360" i="2"/>
  <c r="P508" i="2"/>
  <c r="P509" i="2"/>
  <c r="P965" i="2"/>
  <c r="P510" i="2"/>
  <c r="P966" i="2"/>
  <c r="P361" i="2"/>
  <c r="P511" i="2"/>
  <c r="P512" i="2"/>
  <c r="P808" i="2"/>
  <c r="P362" i="2"/>
  <c r="P513" i="2"/>
  <c r="P363" i="2"/>
  <c r="P241" i="2"/>
  <c r="P364" i="2"/>
  <c r="P809" i="2"/>
  <c r="P967" i="2"/>
  <c r="P514" i="2"/>
  <c r="P242" i="2"/>
  <c r="P365" i="2"/>
  <c r="P515" i="2"/>
  <c r="P516" i="2"/>
  <c r="P810" i="2"/>
  <c r="P517" i="2"/>
  <c r="P811" i="2"/>
  <c r="P518" i="2"/>
  <c r="P519" i="2"/>
  <c r="P520" i="2"/>
  <c r="P521" i="2"/>
  <c r="P366" i="2"/>
  <c r="P243" i="2"/>
  <c r="P968" i="2"/>
  <c r="P969" i="2"/>
  <c r="P522" i="2"/>
  <c r="P367" i="2"/>
  <c r="P812" i="2"/>
  <c r="P244" i="2"/>
  <c r="P813" i="2"/>
  <c r="P970" i="2"/>
  <c r="P523" i="2"/>
  <c r="P524" i="2"/>
  <c r="P525" i="2"/>
  <c r="P526" i="2"/>
  <c r="P527" i="2"/>
  <c r="P528" i="2"/>
  <c r="P529" i="2"/>
  <c r="P368" i="2"/>
  <c r="P814" i="2"/>
  <c r="P815" i="2"/>
  <c r="P530" i="2"/>
  <c r="P369" i="2"/>
  <c r="P971" i="2"/>
  <c r="P531" i="2"/>
  <c r="P245" i="2"/>
  <c r="P972" i="2"/>
  <c r="P816" i="2"/>
  <c r="P532" i="2"/>
  <c r="P973" i="2"/>
  <c r="P533" i="2"/>
  <c r="P817" i="2"/>
  <c r="P534" i="2"/>
  <c r="P535" i="2"/>
  <c r="P536" i="2"/>
  <c r="P537" i="2"/>
  <c r="P538" i="2"/>
  <c r="P818" i="2"/>
  <c r="P539" i="2"/>
  <c r="P540" i="2"/>
  <c r="P541" i="2"/>
  <c r="P542" i="2"/>
  <c r="P543" i="2"/>
  <c r="P246" i="2"/>
  <c r="P819" i="2"/>
  <c r="P820" i="2"/>
  <c r="P544" i="2"/>
  <c r="P545" i="2"/>
  <c r="P821" i="2"/>
  <c r="P546" i="2"/>
  <c r="P547" i="2"/>
  <c r="P822" i="2"/>
  <c r="P974" i="2"/>
  <c r="P548" i="2"/>
  <c r="P370" i="2"/>
  <c r="P975" i="2"/>
  <c r="P549" i="2"/>
  <c r="P823" i="2"/>
  <c r="P550" i="2"/>
  <c r="P551" i="2"/>
  <c r="P552" i="2"/>
  <c r="P553" i="2"/>
  <c r="P824" i="2"/>
  <c r="P554" i="2"/>
  <c r="P247" i="2"/>
  <c r="P976" i="2"/>
  <c r="P825" i="2"/>
  <c r="P555" i="2"/>
  <c r="P371" i="2"/>
  <c r="P556" i="2"/>
  <c r="P557" i="2"/>
  <c r="P372" i="2"/>
  <c r="P248" i="2"/>
  <c r="P373" i="2"/>
  <c r="P558" i="2"/>
  <c r="P559" i="2"/>
  <c r="P826" i="2"/>
  <c r="P249" i="2"/>
  <c r="P560" i="2"/>
  <c r="P250" i="2"/>
  <c r="P977" i="2"/>
  <c r="P827" i="2"/>
  <c r="P561" i="2"/>
  <c r="P562" i="2"/>
  <c r="P374" i="2"/>
  <c r="P375" i="2"/>
  <c r="P563" i="2"/>
  <c r="P251" i="2"/>
  <c r="P252" i="2"/>
  <c r="P376" i="2"/>
  <c r="P564" i="2"/>
  <c r="P253" i="2"/>
  <c r="P978" i="2"/>
  <c r="P828" i="2"/>
  <c r="P829" i="2"/>
  <c r="P565" i="2"/>
  <c r="P566" i="2"/>
  <c r="P567" i="2"/>
  <c r="P568" i="2"/>
  <c r="P569" i="2"/>
  <c r="P570" i="2"/>
  <c r="P571" i="2"/>
  <c r="P830" i="2"/>
  <c r="P572" i="2"/>
  <c r="P831" i="2"/>
  <c r="P573" i="2"/>
  <c r="P377" i="2"/>
  <c r="P378" i="2"/>
  <c r="P574" i="2"/>
  <c r="P575" i="2"/>
  <c r="P832" i="2"/>
  <c r="P979" i="2"/>
  <c r="P576" i="2"/>
  <c r="P379" i="2"/>
  <c r="P254" i="2"/>
  <c r="P980" i="2"/>
  <c r="P255" i="2"/>
  <c r="P577" i="2"/>
  <c r="P833" i="2"/>
  <c r="P578" i="2"/>
  <c r="P579" i="2"/>
  <c r="P580" i="2"/>
  <c r="P581" i="2"/>
  <c r="P981" i="2"/>
  <c r="P982" i="2"/>
  <c r="P256" i="2"/>
  <c r="P834" i="2"/>
  <c r="P582" i="2"/>
  <c r="P835" i="2"/>
  <c r="P583" i="2"/>
  <c r="P836" i="2"/>
  <c r="P837" i="2"/>
  <c r="P257" i="2"/>
  <c r="P983" i="2"/>
  <c r="P584" i="2"/>
  <c r="P585" i="2"/>
  <c r="P586" i="2"/>
  <c r="P587" i="2"/>
  <c r="P984" i="2"/>
  <c r="P588" i="2"/>
  <c r="P258" i="2"/>
  <c r="P589" i="2"/>
  <c r="P590" i="2"/>
  <c r="P838" i="2"/>
  <c r="P839" i="2"/>
  <c r="P591" i="2"/>
  <c r="P840" i="2"/>
  <c r="P259" i="2"/>
  <c r="P380" i="2"/>
  <c r="P592" i="2"/>
  <c r="P260" i="2"/>
  <c r="P593" i="2"/>
  <c r="P841" i="2"/>
  <c r="P842" i="2"/>
  <c r="P594" i="2"/>
  <c r="P595" i="2"/>
  <c r="P843" i="2"/>
  <c r="P596" i="2"/>
  <c r="P985" i="2"/>
  <c r="P986" i="2"/>
  <c r="P597" i="2"/>
  <c r="P381" i="2"/>
  <c r="P598" i="2"/>
  <c r="P599" i="2"/>
  <c r="P382" i="2"/>
  <c r="P600" i="2"/>
  <c r="P601" i="2"/>
  <c r="P844" i="2"/>
  <c r="P383" i="2"/>
  <c r="P384" i="2"/>
  <c r="P602" i="2"/>
  <c r="P385" i="2"/>
  <c r="P603" i="2"/>
  <c r="P604" i="2"/>
  <c r="P261" i="2"/>
  <c r="P845" i="2"/>
  <c r="P846" i="2"/>
  <c r="P605" i="2"/>
  <c r="P262" i="2"/>
  <c r="P606" i="2"/>
  <c r="P386" i="2"/>
  <c r="P847" i="2"/>
  <c r="P263" i="2"/>
  <c r="P264" i="2"/>
  <c r="P848" i="2"/>
  <c r="P607" i="2"/>
  <c r="P608" i="2"/>
  <c r="P609" i="2"/>
  <c r="P265" i="2"/>
  <c r="P849" i="2"/>
  <c r="P610" i="2"/>
  <c r="P611" i="2"/>
  <c r="P850" i="2"/>
  <c r="P851" i="2"/>
  <c r="P852" i="2"/>
  <c r="P853" i="2"/>
  <c r="P266" i="2"/>
  <c r="P612" i="2"/>
  <c r="P267" i="2"/>
  <c r="P854" i="2"/>
  <c r="P613" i="2"/>
  <c r="P614" i="2"/>
  <c r="P615" i="2"/>
  <c r="P616" i="2"/>
  <c r="P617" i="2"/>
  <c r="P855" i="2"/>
  <c r="P618" i="2"/>
  <c r="P619" i="2"/>
  <c r="P856" i="2"/>
  <c r="P857" i="2"/>
  <c r="P987" i="2"/>
  <c r="P620" i="2"/>
  <c r="P268" i="2"/>
  <c r="P621" i="2"/>
  <c r="P988" i="2"/>
  <c r="P622" i="2"/>
  <c r="P623" i="2"/>
  <c r="P387" i="2"/>
  <c r="P858" i="2"/>
  <c r="P989" i="2"/>
  <c r="P624" i="2"/>
  <c r="P625" i="2"/>
  <c r="P626" i="2"/>
  <c r="P627" i="2"/>
  <c r="P628" i="2"/>
  <c r="P629" i="2"/>
  <c r="P859" i="2"/>
  <c r="P630" i="2"/>
  <c r="P388" i="2"/>
  <c r="P389" i="2"/>
  <c r="P631" i="2"/>
  <c r="P990" i="2"/>
  <c r="P632" i="2"/>
  <c r="P390" i="2"/>
  <c r="P860" i="2"/>
  <c r="P269" i="2"/>
  <c r="P633" i="2"/>
  <c r="P861" i="2"/>
  <c r="P991" i="2"/>
  <c r="P862" i="2"/>
  <c r="P992" i="2"/>
  <c r="P634" i="2"/>
  <c r="P863" i="2"/>
  <c r="P635" i="2"/>
  <c r="P636" i="2"/>
  <c r="P270" i="2"/>
  <c r="P864" i="2"/>
  <c r="P637" i="2"/>
  <c r="P865" i="2"/>
  <c r="P271" i="2"/>
  <c r="P272" i="2"/>
  <c r="P273" i="2"/>
  <c r="P866" i="2"/>
  <c r="P391" i="2"/>
  <c r="P867" i="2"/>
  <c r="P392" i="2"/>
  <c r="P638" i="2"/>
  <c r="P639" i="2"/>
  <c r="P274" i="2"/>
  <c r="P993" i="2"/>
  <c r="P640" i="2"/>
  <c r="P641" i="2"/>
  <c r="P642" i="2"/>
  <c r="P868" i="2"/>
  <c r="P275" i="2"/>
  <c r="P643" i="2"/>
  <c r="P276" i="2"/>
  <c r="P644" i="2"/>
  <c r="P869" i="2"/>
  <c r="P393" i="2"/>
  <c r="P394" i="2"/>
  <c r="P395" i="2"/>
  <c r="P277" i="2"/>
  <c r="P645" i="2"/>
  <c r="P396" i="2"/>
  <c r="P278" i="2"/>
  <c r="P646" i="2"/>
  <c r="P870" i="2"/>
  <c r="P647" i="2"/>
  <c r="P648" i="2"/>
  <c r="P871" i="2"/>
  <c r="P994" i="2"/>
  <c r="P649" i="2"/>
  <c r="P650" i="2"/>
  <c r="P651" i="2"/>
  <c r="P872" i="2"/>
  <c r="P873" i="2"/>
  <c r="P279" i="2"/>
  <c r="P652" i="2"/>
  <c r="P653" i="2"/>
  <c r="P874" i="2"/>
  <c r="P654" i="2"/>
  <c r="P397" i="2"/>
  <c r="P398" i="2"/>
  <c r="P655" i="2"/>
  <c r="P399" i="2"/>
  <c r="P656" i="2"/>
  <c r="P875" i="2"/>
  <c r="P876" i="2"/>
  <c r="P657" i="2"/>
  <c r="P877" i="2"/>
  <c r="P400" i="2"/>
  <c r="P878" i="2"/>
  <c r="P658" i="2"/>
  <c r="P401" i="2"/>
  <c r="P659" i="2"/>
  <c r="P660" i="2"/>
  <c r="P995" i="2"/>
  <c r="P661" i="2"/>
  <c r="P879" i="2"/>
  <c r="P280" i="2"/>
  <c r="P662" i="2"/>
  <c r="P880" i="2"/>
  <c r="P663" i="2"/>
  <c r="P402" i="2"/>
  <c r="P881" i="2"/>
  <c r="P882" i="2"/>
  <c r="P664" i="2"/>
  <c r="P665" i="2"/>
  <c r="P666" i="2"/>
  <c r="P667" i="2"/>
  <c r="P883" i="2"/>
  <c r="P884" i="2"/>
  <c r="P668" i="2"/>
  <c r="P669" i="2"/>
  <c r="P670" i="2"/>
  <c r="P671" i="2"/>
  <c r="P672" i="2"/>
  <c r="P885" i="2"/>
  <c r="P403" i="2"/>
  <c r="P673" i="2"/>
  <c r="P674" i="2"/>
  <c r="P886" i="2"/>
  <c r="P675" i="2"/>
  <c r="P887" i="2"/>
  <c r="P888" i="2"/>
  <c r="P404" i="2"/>
  <c r="P405" i="2"/>
  <c r="P676" i="2"/>
  <c r="P677" i="2"/>
  <c r="P678" i="2"/>
  <c r="P679" i="2"/>
  <c r="P680" i="2"/>
  <c r="P889" i="2"/>
  <c r="P681" i="2"/>
  <c r="P890" i="2"/>
  <c r="P682" i="2"/>
  <c r="P683" i="2"/>
  <c r="P406" i="2"/>
  <c r="P684" i="2"/>
  <c r="P996" i="2"/>
  <c r="P997" i="2"/>
  <c r="P685" i="2"/>
  <c r="P407" i="2"/>
  <c r="P686" i="2"/>
  <c r="P891" i="2"/>
  <c r="P892" i="2"/>
  <c r="P408" i="2"/>
  <c r="P281" i="2"/>
  <c r="P687" i="2"/>
  <c r="P688" i="2"/>
  <c r="P689" i="2"/>
  <c r="P282" i="2"/>
  <c r="P690" i="2"/>
  <c r="P691" i="2"/>
  <c r="P692" i="2"/>
  <c r="P693" i="2"/>
  <c r="P409" i="2"/>
  <c r="P410" i="2"/>
  <c r="P893" i="2"/>
  <c r="P411" i="2"/>
  <c r="P998" i="2"/>
  <c r="P894" i="2"/>
  <c r="P999" i="2"/>
  <c r="P694" i="2"/>
  <c r="P895" i="2"/>
  <c r="P896" i="2"/>
  <c r="P695" i="2"/>
  <c r="P696" i="2"/>
  <c r="P697" i="2"/>
  <c r="P283" i="2"/>
  <c r="P698" i="2"/>
  <c r="P412" i="2"/>
  <c r="P1000" i="2"/>
  <c r="P413" i="2"/>
  <c r="P699" i="2"/>
  <c r="P700" i="2"/>
  <c r="P701" i="2"/>
  <c r="P1001" i="2"/>
  <c r="P702" i="2"/>
  <c r="A8" i="3"/>
  <c r="G4" i="1"/>
  <c r="A5" i="3"/>
  <c r="A14" i="3"/>
  <c r="C9" i="1"/>
  <c r="A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A18EBB-5049-4DC5-9A0B-21DFF0C74E62}"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<sst xmlns="http://schemas.openxmlformats.org/spreadsheetml/2006/main" count="8079" uniqueCount="63">
  <si>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</si>
  <si>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</si>
  <si>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</si>
  <si>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</si>
  <si>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</si>
  <si>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</si>
  <si>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</si>
  <si>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</si>
  <si>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</si>
  <si>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</si>
  <si>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</si>
  <si>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</si>
  <si>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</si>
  <si>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</si>
  <si>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</si>
  <si>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</si>
  <si>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</si>
  <si>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</si>
  <si>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</si>
  <si>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</si>
  <si>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</si>
  <si>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</si>
  <si>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</si>
  <si>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</si>
  <si>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</si>
  <si>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</si>
  <si>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</si>
  <si>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</si>
  <si>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</si>
  <si>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</si>
  <si>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</si>
  <si>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</si>
  <si>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Male</t>
  </si>
  <si>
    <t>Female</t>
  </si>
  <si>
    <t>Single</t>
  </si>
  <si>
    <t>Marriedarital Singletatus</t>
  </si>
  <si>
    <t>Age Category</t>
  </si>
  <si>
    <t>Bike Purchaser Rate</t>
  </si>
  <si>
    <t>Count of ID</t>
  </si>
  <si>
    <t>Count of Purchased Bike</t>
  </si>
  <si>
    <t>Purchased Bike Numerical</t>
  </si>
  <si>
    <t>Row Labels</t>
  </si>
  <si>
    <t>Grand Total</t>
  </si>
  <si>
    <t>Middle Age</t>
  </si>
  <si>
    <t>Older Adult</t>
  </si>
  <si>
    <t>Purchased Rate</t>
  </si>
  <si>
    <t>Average of Income</t>
  </si>
  <si>
    <t>KPI Calclation</t>
  </si>
  <si>
    <t>Total Customers</t>
  </si>
  <si>
    <t>Bike Purchasers</t>
  </si>
  <si>
    <t>Bike Purchase Rate</t>
  </si>
  <si>
    <t>Average Income $</t>
  </si>
  <si>
    <t>Column Labels</t>
  </si>
  <si>
    <t xml:space="preserve"> Adult</t>
  </si>
  <si>
    <t>Income Group</t>
  </si>
  <si>
    <t>100K+</t>
  </si>
  <si>
    <t>40K-59K</t>
  </si>
  <si>
    <t>60K-79K</t>
  </si>
  <si>
    <t>80K-99K</t>
  </si>
  <si>
    <t>Under 40K</t>
  </si>
  <si>
    <t>BIKE BUYERS ANALYTICS</t>
  </si>
  <si>
    <t>Customer Purchase Analysis</t>
  </si>
  <si>
    <t>More then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</si>
</sst>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quot;$&quot;* #,##0_);_(&quot;$&quot;* \(#,##0\);_(&quot;$&quot;* &quot;-&quot;??_);_(@_)"/>
  </numFmts>
  <fonts count="7" x14ac:knownFonts="1">
    <font>
      <sz val="11"/>
      <color theme="1"/>
      <name val="Aptos Narrow"/>
      <family val="2"/>
      <scheme val="minor"/>
    </font>
    <font>
      <b/>
      <sz val="11"/>
      <color theme="1"/>
      <name val="Aptos Narrow"/>
      <family val="2"/>
      <scheme val="minor"/>
    </font>
    <font>
      <sz val="11"/>
      <color theme="0"/>
      <name val="Arial Black"/>
      <family val="2"/>
    </font>
    <font>
      <sz val="20"/>
      <color theme="0"/>
      <name val="Arial Black"/>
      <family val="2"/>
    </font>
    <font>
      <sz val="11"/>
      <color theme="7" tint="0.59999389629810485"/>
      <name val="Arial Black"/>
      <family val="2"/>
    </font>
    <font>
      <sz val="26"/>
      <color theme="4" tint="0.79998168889431442"/>
      <name val="Aptos Narrow"/>
      <family val="2"/>
      <scheme val="minor"/>
    </font>
    <font>
      <sz val="36"/>
      <color theme="0"/>
      <name val="Aptos Narrow"/>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0" borderId="0" xfId="0" applyNumberFormat="1"/>
    <xf numFmtId="164" fontId="0" fillId="0" borderId="0" xfId="0" applyNumberFormat="1"/>
    <xf numFmtId="0" fontId="0" fillId="4" borderId="0" xfId="0" applyFill="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0" fontId="1" fillId="5" borderId="1" xfId="0" applyFont="1" applyFill="1" applyBorder="1"/>
    <xf numFmtId="0" fontId="1" fillId="4" borderId="0" xfId="0" applyFont="1" applyFill="1"/>
    <xf numFmtId="0" fontId="0" fillId="3" borderId="0" xfId="0" applyFill="1" applyAlignment="1"/>
    <xf numFmtId="0" fontId="2" fillId="3" borderId="0" xfId="0" applyFont="1" applyFill="1" applyAlignment="1"/>
    <xf numFmtId="0" fontId="3" fillId="3" borderId="0" xfId="0" applyFont="1" applyFill="1" applyAlignment="1">
      <alignment horizontal="left"/>
    </xf>
    <xf numFmtId="9" fontId="3" fillId="3" borderId="0" xfId="0" applyNumberFormat="1" applyFont="1" applyFill="1" applyAlignment="1">
      <alignment horizontal="left"/>
    </xf>
    <xf numFmtId="0" fontId="4" fillId="3" borderId="0" xfId="0" applyFont="1" applyFill="1" applyAlignment="1"/>
    <xf numFmtId="0" fontId="0" fillId="6" borderId="0" xfId="0" applyFill="1"/>
    <xf numFmtId="0" fontId="0" fillId="6" borderId="0" xfId="0" applyFill="1" applyAlignment="1"/>
    <xf numFmtId="0" fontId="5" fillId="2" borderId="0" xfId="0" applyFont="1" applyFill="1" applyAlignment="1">
      <alignment horizontal="center"/>
    </xf>
    <xf numFmtId="0" fontId="6" fillId="2" borderId="0" xfId="0" applyFont="1" applyFill="1" applyAlignment="1">
      <alignment horizontal="center"/>
    </xf>
  </cellXfs>
  <cellStyles count="1">
    <cellStyle name="Normal" xfId="0" builtinId="0"/>
  </cellStyles>
  <dxfs count="27">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 Bike by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Table'!$B$13:$B$14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Middle Age</c:v>
                </c:pt>
                <c:pt idx="1">
                  <c:v>Older Adult</c:v>
                </c:pt>
                <c:pt idx="2">
                  <c:v> Adult</c:v>
                </c:pt>
              </c:strCache>
            </c:strRef>
          </c:cat>
          <c:val>
            <c:numRef>
              <c:f>'Pivot Table'!$B$15:$B$18</c:f>
              <c:numCache>
                <c:formatCode>General</c:formatCode>
                <c:ptCount val="3"/>
                <c:pt idx="0">
                  <c:v>230</c:v>
                </c:pt>
                <c:pt idx="1">
                  <c:v>37</c:v>
                </c:pt>
                <c:pt idx="2">
                  <c:v>214</c:v>
                </c:pt>
              </c:numCache>
            </c:numRef>
          </c:val>
          <c:extLst>
            <c:ext xmlns:c16="http://schemas.microsoft.com/office/drawing/2014/chart" uri="{C3380CC4-5D6E-409C-BE32-E72D297353CC}">
              <c16:uniqueId val="{00000000-D79A-4D23-A22D-EC626D30F3AD}"/>
            </c:ext>
          </c:extLst>
        </c:ser>
        <c:dLbls>
          <c:dLblPos val="outEnd"/>
          <c:showLegendKey val="0"/>
          <c:showVal val="1"/>
          <c:showCatName val="0"/>
          <c:showSerName val="0"/>
          <c:showPercent val="0"/>
          <c:showBubbleSize val="0"/>
        </c:dLbls>
        <c:gapWidth val="219"/>
        <c:overlap val="-27"/>
        <c:axId val="960955007"/>
        <c:axId val="960955967"/>
      </c:barChart>
      <c:catAx>
        <c:axId val="96095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55967"/>
        <c:crosses val="autoZero"/>
        <c:auto val="1"/>
        <c:lblAlgn val="ctr"/>
        <c:lblOffset val="100"/>
        <c:noMultiLvlLbl val="0"/>
      </c:catAx>
      <c:valAx>
        <c:axId val="96095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5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Purchased Bike by Age Gender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Table'!$B$28:$B$29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Female</c:v>
                </c:pt>
                <c:pt idx="1">
                  <c:v>Male</c:v>
                </c:pt>
              </c:strCache>
            </c:strRef>
          </c:cat>
          <c:val>
            <c:numRef>
              <c:f>'Pivot Table'!$B$30:$B$32</c:f>
              <c:numCache>
                <c:formatCode>General</c:formatCode>
                <c:ptCount val="2"/>
                <c:pt idx="0">
                  <c:v>239</c:v>
                </c:pt>
                <c:pt idx="1">
                  <c:v>242</c:v>
                </c:pt>
              </c:numCache>
            </c:numRef>
          </c:val>
          <c:extLst>
            <c:ext xmlns:c16="http://schemas.microsoft.com/office/drawing/2014/chart" uri="{C3380CC4-5D6E-409C-BE32-E72D297353CC}">
              <c16:uniqueId val="{00000000-6BF4-4C1C-B0C6-6114BC92E858}"/>
            </c:ext>
          </c:extLst>
        </c:ser>
        <c:dLbls>
          <c:dLblPos val="outEnd"/>
          <c:showLegendKey val="0"/>
          <c:showVal val="1"/>
          <c:showCatName val="0"/>
          <c:showSerName val="0"/>
          <c:showPercent val="0"/>
          <c:showBubbleSize val="0"/>
        </c:dLbls>
        <c:gapWidth val="219"/>
        <c:overlap val="-27"/>
        <c:axId val="927008720"/>
        <c:axId val="927009680"/>
      </c:barChart>
      <c:catAx>
        <c:axId val="927008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09680"/>
        <c:crosses val="autoZero"/>
        <c:auto val="1"/>
        <c:lblAlgn val="ctr"/>
        <c:lblOffset val="100"/>
        <c:noMultiLvlLbl val="0"/>
      </c:catAx>
      <c:valAx>
        <c:axId val="927009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0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Purchesed by Avg-Salary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Table'!$B$40:$B$41</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Under 40K</c:v>
                </c:pt>
                <c:pt idx="1">
                  <c:v>80K-99K</c:v>
                </c:pt>
                <c:pt idx="2">
                  <c:v>60K-79K</c:v>
                </c:pt>
                <c:pt idx="3">
                  <c:v>40K-59K</c:v>
                </c:pt>
                <c:pt idx="4">
                  <c:v>100K+</c:v>
                </c:pt>
              </c:strCache>
            </c:strRef>
          </c:cat>
          <c:val>
            <c:numRef>
              <c:f>'Pivot Table'!$B$42:$B$47</c:f>
              <c:numCache>
                <c:formatCode>General</c:formatCode>
                <c:ptCount val="5"/>
                <c:pt idx="0">
                  <c:v>113</c:v>
                </c:pt>
                <c:pt idx="1">
                  <c:v>60</c:v>
                </c:pt>
                <c:pt idx="2">
                  <c:v>147</c:v>
                </c:pt>
                <c:pt idx="3">
                  <c:v>110</c:v>
                </c:pt>
                <c:pt idx="4">
                  <c:v>51</c:v>
                </c:pt>
              </c:numCache>
            </c:numRef>
          </c:val>
          <c:extLst>
            <c:ext xmlns:c16="http://schemas.microsoft.com/office/drawing/2014/chart" uri="{C3380CC4-5D6E-409C-BE32-E72D297353CC}">
              <c16:uniqueId val="{00000000-331B-420B-9E34-160A4EC1524E}"/>
            </c:ext>
          </c:extLst>
        </c:ser>
        <c:dLbls>
          <c:dLblPos val="outEnd"/>
          <c:showLegendKey val="0"/>
          <c:showVal val="1"/>
          <c:showCatName val="0"/>
          <c:showSerName val="0"/>
          <c:showPercent val="0"/>
          <c:showBubbleSize val="0"/>
        </c:dLbls>
        <c:gapWidth val="219"/>
        <c:overlap val="-27"/>
        <c:axId val="927014480"/>
        <c:axId val="927015440"/>
      </c:barChart>
      <c:catAx>
        <c:axId val="92701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5440"/>
        <c:crosses val="autoZero"/>
        <c:auto val="1"/>
        <c:lblAlgn val="ctr"/>
        <c:lblOffset val="100"/>
        <c:noMultiLvlLbl val="0"/>
      </c:catAx>
      <c:valAx>
        <c:axId val="927015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purchased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Table'!$B$58:$B$59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Table'!$A$60:$A$63</c:f>
              <c:strCache>
                <c:ptCount val="3"/>
                <c:pt idx="0">
                  <c:v>Europe</c:v>
                </c:pt>
                <c:pt idx="1">
                  <c:v>North America</c:v>
                </c:pt>
                <c:pt idx="2">
                  <c:v>Pacific</c:v>
                </c:pt>
              </c:strCache>
            </c:strRef>
          </c:cat>
          <c:val>
            <c:numRef>
              <c:f>'Pivot Table'!$B$60:$B$63</c:f>
              <c:numCache>
                <c:formatCode>General</c:formatCode>
                <c:ptCount val="3"/>
                <c:pt idx="0">
                  <c:v>148</c:v>
                </c:pt>
                <c:pt idx="1">
                  <c:v>220</c:v>
                </c:pt>
                <c:pt idx="2">
                  <c:v>113</c:v>
                </c:pt>
              </c:numCache>
            </c:numRef>
          </c:val>
          <c:extLst>
            <c:ext xmlns:c16="http://schemas.microsoft.com/office/drawing/2014/chart" uri="{C3380CC4-5D6E-409C-BE32-E72D297353CC}">
              <c16:uniqueId val="{00000000-3FEF-4E02-9860-A25D8EBDD7AE}"/>
            </c:ext>
          </c:extLst>
        </c:ser>
        <c:dLbls>
          <c:dLblPos val="outEnd"/>
          <c:showLegendKey val="0"/>
          <c:showVal val="1"/>
          <c:showCatName val="0"/>
          <c:showSerName val="0"/>
          <c:showPercent val="0"/>
          <c:showBubbleSize val="0"/>
        </c:dLbls>
        <c:gapWidth val="182"/>
        <c:axId val="919849408"/>
        <c:axId val="919840288"/>
      </c:barChart>
      <c:catAx>
        <c:axId val="919849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0288"/>
        <c:crosses val="autoZero"/>
        <c:auto val="1"/>
        <c:lblAlgn val="ctr"/>
        <c:lblOffset val="100"/>
        <c:noMultiLvlLbl val="0"/>
      </c:catAx>
      <c:valAx>
        <c:axId val="919840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Table'!$B$71:$B$72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Table'!$A$73:$A$78</c:f>
              <c:strCache>
                <c:ptCount val="5"/>
                <c:pt idx="0">
                  <c:v>0-1 Miles</c:v>
                </c:pt>
                <c:pt idx="1">
                  <c:v>1-2 Miles</c:v>
                </c:pt>
                <c:pt idx="2">
                  <c:v>2-5 Miles</c:v>
                </c:pt>
                <c:pt idx="3">
                  <c:v>5-10 Miles</c:v>
                </c:pt>
                <c:pt idx="4">
                  <c:v>More then 10 Miles</c:v>
                </c:pt>
              </c:strCache>
            </c:strRef>
          </c:cat>
          <c:val>
            <c:numRef>
              <c:f>'Pivot Table'!$B$73:$B$78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DB6C-4727-8EB3-EC0F6565020D}"/>
            </c:ext>
          </c:extLst>
        </c:ser>
        <c:dLbls>
          <c:dLblPos val="outEnd"/>
          <c:showLegendKey val="0"/>
          <c:showVal val="1"/>
          <c:showCatName val="0"/>
          <c:showSerName val="0"/>
          <c:showPercent val="0"/>
          <c:showBubbleSize val="0"/>
        </c:dLbls>
        <c:gapWidth val="219"/>
        <c:overlap val="-27"/>
        <c:axId val="134330384"/>
        <c:axId val="134340944"/>
      </c:barChart>
      <c:catAx>
        <c:axId val="13433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Commute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0944"/>
        <c:crosses val="autoZero"/>
        <c:auto val="1"/>
        <c:lblAlgn val="ctr"/>
        <c:lblOffset val="100"/>
        <c:noMultiLvlLbl val="0"/>
      </c:catAx>
      <c:valAx>
        <c:axId val="13434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 Bike by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3188172906959"/>
          <c:y val="0.32129676587036787"/>
          <c:w val="0.79355723391718891"/>
          <c:h val="0.31654032652698072"/>
        </c:manualLayout>
      </c:layout>
      <c:barChart>
        <c:barDir val="col"/>
        <c:grouping val="clustered"/>
        <c:varyColors val="0"/>
        <c:ser>
          <c:idx val="0"/>
          <c:order val="0"/>
          <c:tx>
            <c:strRef>
              <c:f>'Pivot Table'!$B$13:$B$14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Table'!$A$15:$A$18</c:f>
              <c:strCache>
                <c:ptCount val="3"/>
                <c:pt idx="0">
                  <c:v>Middle Age</c:v>
                </c:pt>
                <c:pt idx="1">
                  <c:v>Older Adult</c:v>
                </c:pt>
                <c:pt idx="2">
                  <c:v> Adult</c:v>
                </c:pt>
              </c:strCache>
            </c:strRef>
          </c:cat>
          <c:val>
            <c:numRef>
              <c:f>'Pivot Table'!$B$15:$B$18</c:f>
              <c:numCache>
                <c:formatCode>General</c:formatCode>
                <c:ptCount val="3"/>
                <c:pt idx="0">
                  <c:v>230</c:v>
                </c:pt>
                <c:pt idx="1">
                  <c:v>37</c:v>
                </c:pt>
                <c:pt idx="2">
                  <c:v>214</c:v>
                </c:pt>
              </c:numCache>
            </c:numRef>
          </c:val>
          <c:extLst>
            <c:ext xmlns:c16="http://schemas.microsoft.com/office/drawing/2014/chart" uri="{C3380CC4-5D6E-409C-BE32-E72D297353CC}">
              <c16:uniqueId val="{00000000-4C21-4D42-8D27-91DB1F2C10BC}"/>
            </c:ext>
          </c:extLst>
        </c:ser>
        <c:dLbls>
          <c:dLblPos val="outEnd"/>
          <c:showLegendKey val="0"/>
          <c:showVal val="1"/>
          <c:showCatName val="0"/>
          <c:showSerName val="0"/>
          <c:showPercent val="0"/>
          <c:showBubbleSize val="0"/>
        </c:dLbls>
        <c:gapWidth val="219"/>
        <c:overlap val="-27"/>
        <c:axId val="960955007"/>
        <c:axId val="960955967"/>
      </c:barChart>
      <c:catAx>
        <c:axId val="96095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55967"/>
        <c:crosses val="autoZero"/>
        <c:auto val="1"/>
        <c:lblAlgn val="ctr"/>
        <c:lblOffset val="100"/>
        <c:noMultiLvlLbl val="0"/>
      </c:catAx>
      <c:valAx>
        <c:axId val="960955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5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Purchased Bike by Age Gender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Table'!$B$28:$B$29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Female</c:v>
                </c:pt>
                <c:pt idx="1">
                  <c:v>Male</c:v>
                </c:pt>
              </c:strCache>
            </c:strRef>
          </c:cat>
          <c:val>
            <c:numRef>
              <c:f>'Pivot Table'!$B$30:$B$32</c:f>
              <c:numCache>
                <c:formatCode>General</c:formatCode>
                <c:ptCount val="2"/>
                <c:pt idx="0">
                  <c:v>239</c:v>
                </c:pt>
                <c:pt idx="1">
                  <c:v>242</c:v>
                </c:pt>
              </c:numCache>
            </c:numRef>
          </c:val>
          <c:extLst>
            <c:ext xmlns:c16="http://schemas.microsoft.com/office/drawing/2014/chart" uri="{C3380CC4-5D6E-409C-BE32-E72D297353CC}">
              <c16:uniqueId val="{00000000-B7D8-43E5-B236-B5AFA91117F4}"/>
            </c:ext>
          </c:extLst>
        </c:ser>
        <c:dLbls>
          <c:dLblPos val="outEnd"/>
          <c:showLegendKey val="0"/>
          <c:showVal val="1"/>
          <c:showCatName val="0"/>
          <c:showSerName val="0"/>
          <c:showPercent val="0"/>
          <c:showBubbleSize val="0"/>
        </c:dLbls>
        <c:gapWidth val="219"/>
        <c:axId val="927008720"/>
        <c:axId val="927009680"/>
      </c:barChart>
      <c:catAx>
        <c:axId val="927008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09680"/>
        <c:crosses val="autoZero"/>
        <c:auto val="1"/>
        <c:lblAlgn val="ctr"/>
        <c:lblOffset val="100"/>
        <c:noMultiLvlLbl val="0"/>
      </c:catAx>
      <c:valAx>
        <c:axId val="927009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0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Table'!$B$71:$B$72</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Table'!$A$73:$A$78</c:f>
              <c:strCache>
                <c:ptCount val="5"/>
                <c:pt idx="0">
                  <c:v>0-1 Miles</c:v>
                </c:pt>
                <c:pt idx="1">
                  <c:v>1-2 Miles</c:v>
                </c:pt>
                <c:pt idx="2">
                  <c:v>2-5 Miles</c:v>
                </c:pt>
                <c:pt idx="3">
                  <c:v>5-10 Miles</c:v>
                </c:pt>
                <c:pt idx="4">
                  <c:v>More then 10 Miles</c:v>
                </c:pt>
              </c:strCache>
            </c:strRef>
          </c:cat>
          <c:val>
            <c:numRef>
              <c:f>'Pivot Table'!$B$73:$B$78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962C-486B-BA08-49C2A6639CD3}"/>
            </c:ext>
          </c:extLst>
        </c:ser>
        <c:dLbls>
          <c:dLblPos val="outEnd"/>
          <c:showLegendKey val="0"/>
          <c:showVal val="1"/>
          <c:showCatName val="0"/>
          <c:showSerName val="0"/>
          <c:showPercent val="0"/>
          <c:showBubbleSize val="0"/>
        </c:dLbls>
        <c:gapWidth val="219"/>
        <c:overlap val="-27"/>
        <c:axId val="134330384"/>
        <c:axId val="134340944"/>
      </c:barChart>
      <c:catAx>
        <c:axId val="13433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Commute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0944"/>
        <c:crosses val="autoZero"/>
        <c:auto val="1"/>
        <c:lblAlgn val="ctr"/>
        <c:lblOffset val="100"/>
        <c:noMultiLvlLbl val="0"/>
      </c:catAx>
      <c:valAx>
        <c:axId val="13434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3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Purchesed by Avg-Salary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Table'!$B$40:$B$41</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Under 40K</c:v>
                </c:pt>
                <c:pt idx="1">
                  <c:v>80K-99K</c:v>
                </c:pt>
                <c:pt idx="2">
                  <c:v>60K-79K</c:v>
                </c:pt>
                <c:pt idx="3">
                  <c:v>40K-59K</c:v>
                </c:pt>
                <c:pt idx="4">
                  <c:v>100K+</c:v>
                </c:pt>
              </c:strCache>
            </c:strRef>
          </c:cat>
          <c:val>
            <c:numRef>
              <c:f>'Pivot Table'!$B$42:$B$47</c:f>
              <c:numCache>
                <c:formatCode>General</c:formatCode>
                <c:ptCount val="5"/>
                <c:pt idx="0">
                  <c:v>113</c:v>
                </c:pt>
                <c:pt idx="1">
                  <c:v>60</c:v>
                </c:pt>
                <c:pt idx="2">
                  <c:v>147</c:v>
                </c:pt>
                <c:pt idx="3">
                  <c:v>110</c:v>
                </c:pt>
                <c:pt idx="4">
                  <c:v>51</c:v>
                </c:pt>
              </c:numCache>
            </c:numRef>
          </c:val>
          <c:extLst>
            <c:ext xmlns:c16="http://schemas.microsoft.com/office/drawing/2014/chart" uri="{C3380CC4-5D6E-409C-BE32-E72D297353CC}">
              <c16:uniqueId val="{00000000-6D66-4F44-8094-9FCA8405DE04}"/>
            </c:ext>
          </c:extLst>
        </c:ser>
        <c:dLbls>
          <c:dLblPos val="outEnd"/>
          <c:showLegendKey val="0"/>
          <c:showVal val="1"/>
          <c:showCatName val="0"/>
          <c:showSerName val="0"/>
          <c:showPercent val="0"/>
          <c:showBubbleSize val="0"/>
        </c:dLbls>
        <c:gapWidth val="219"/>
        <c:overlap val="-27"/>
        <c:axId val="927014480"/>
        <c:axId val="927015440"/>
      </c:barChart>
      <c:catAx>
        <c:axId val="92701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5440"/>
        <c:crosses val="autoZero"/>
        <c:auto val="1"/>
        <c:lblAlgn val="ctr"/>
        <c:lblOffset val="100"/>
        <c:noMultiLvlLbl val="0"/>
      </c:catAx>
      <c:valAx>
        <c:axId val="927015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purchased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purchase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Table'!$B$58:$B$59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Table'!$A$60:$A$63</c:f>
              <c:strCache>
                <c:ptCount val="3"/>
                <c:pt idx="0">
                  <c:v>Europe</c:v>
                </c:pt>
                <c:pt idx="1">
                  <c:v>North America</c:v>
                </c:pt>
                <c:pt idx="2">
                  <c:v>Pacific</c:v>
                </c:pt>
              </c:strCache>
            </c:strRef>
          </c:cat>
          <c:val>
            <c:numRef>
              <c:f>'Pivot Table'!$B$60:$B$63</c:f>
              <c:numCache>
                <c:formatCode>General</c:formatCode>
                <c:ptCount val="3"/>
                <c:pt idx="0">
                  <c:v>148</c:v>
                </c:pt>
                <c:pt idx="1">
                  <c:v>220</c:v>
                </c:pt>
                <c:pt idx="2">
                  <c:v>113</c:v>
                </c:pt>
              </c:numCache>
            </c:numRef>
          </c:val>
          <c:extLst>
            <c:ext xmlns:c16="http://schemas.microsoft.com/office/drawing/2014/chart" uri="{C3380CC4-5D6E-409C-BE32-E72D297353CC}">
              <c16:uniqueId val="{00000000-AA4A-4CA0-B4AA-620242E4135E}"/>
            </c:ext>
          </c:extLst>
        </c:ser>
        <c:dLbls>
          <c:dLblPos val="outEnd"/>
          <c:showLegendKey val="0"/>
          <c:showVal val="1"/>
          <c:showCatName val="0"/>
          <c:showSerName val="0"/>
          <c:showPercent val="0"/>
          <c:showBubbleSize val="0"/>
        </c:dLbls>
        <c:gapWidth val="182"/>
        <c:axId val="919849408"/>
        <c:axId val="919840288"/>
      </c:barChart>
      <c:catAx>
        <c:axId val="919849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0288"/>
        <c:crosses val="autoZero"/>
        <c:auto val="1"/>
        <c:lblAlgn val="ctr"/>
        <c:lblOffset val="100"/>
        <c:noMultiLvlLbl val="0"/>
      </c:catAx>
      <c:valAx>
        <c:axId val="919840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4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223837</xdr:colOff>
      <xdr:row>8</xdr:row>
      <xdr:rowOff>157162</xdr:rowOff>
    </xdr:from>
    <xdr:to>
      <xdr:col>6</xdr:col>
      <xdr:colOff>1319212</xdr:colOff>
      <xdr:row>23</xdr:row>
      <xdr:rowOff>0</xdr:rowOff>
    </xdr:to>
    <xdr:graphicFrame macro="">
      <xdr:nvGraphicFramePr>
        <xdr:cNvPr id="6" name="Chart 5">
          <a:extLst>
            <a:ext uri="{FF2B5EF4-FFF2-40B4-BE49-F238E27FC236}">
              <a16:creationId xmlns:a16="http://schemas.microsoft.com/office/drawing/2014/main" id="{AA9F05F8-F3CE-BCF3-E094-BDE957BA9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180975</xdr:colOff>
      <xdr:row>23</xdr:row>
      <xdr:rowOff>100012</xdr:rowOff>
    </xdr:from>
    <xdr:to>
      <xdr:col>6</xdr:col>
      <xdr:colOff>1295400</xdr:colOff>
      <xdr:row>35</xdr:row>
      <xdr:rowOff>76200</xdr:rowOff>
    </xdr:to>
    <xdr:graphicFrame macro="">
      <xdr:nvGraphicFramePr>
        <xdr:cNvPr id="2" name="Chart 1">
          <a:extLst>
            <a:ext uri="{FF2B5EF4-FFF2-40B4-BE49-F238E27FC236}">
              <a16:creationId xmlns:a16="http://schemas.microsoft.com/office/drawing/2014/main" id="{00F325E6-9D6F-67AB-E076-D9B32C9DB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542925</xdr:colOff>
      <xdr:row>38</xdr:row>
      <xdr:rowOff>14287</xdr:rowOff>
    </xdr:from>
    <xdr:to>
      <xdr:col>7</xdr:col>
      <xdr:colOff>76200</xdr:colOff>
      <xdr:row>52</xdr:row>
      <xdr:rowOff>90487</xdr:rowOff>
    </xdr:to>
    <xdr:graphicFrame macro="">
      <xdr:nvGraphicFramePr>
        <xdr:cNvPr id="4" name="Chart 3">
          <a:extLst>
            <a:ext uri="{FF2B5EF4-FFF2-40B4-BE49-F238E27FC236}">
              <a16:creationId xmlns:a16="http://schemas.microsoft.com/office/drawing/2014/main" id="{E1E2F940-52EA-4C2D-6ACC-62475C36B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53</xdr:row>
      <xdr:rowOff>185737</xdr:rowOff>
    </xdr:from>
    <xdr:to>
      <xdr:col>6</xdr:col>
      <xdr:colOff>485775</xdr:colOff>
      <xdr:row>66</xdr:row>
      <xdr:rowOff>85725</xdr:rowOff>
    </xdr:to>
    <xdr:graphicFrame macro="">
      <xdr:nvGraphicFramePr>
        <xdr:cNvPr id="5" name="Chart 4">
          <a:extLst>
            <a:ext uri="{FF2B5EF4-FFF2-40B4-BE49-F238E27FC236}">
              <a16:creationId xmlns:a16="http://schemas.microsoft.com/office/drawing/2014/main" id="{22F0E99F-257A-8EE1-D958-745E101EA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67</xdr:row>
      <xdr:rowOff>119062</xdr:rowOff>
    </xdr:from>
    <xdr:to>
      <xdr:col>6</xdr:col>
      <xdr:colOff>1362075</xdr:colOff>
      <xdr:row>82</xdr:row>
      <xdr:rowOff>4762</xdr:rowOff>
    </xdr:to>
    <xdr:graphicFrame macro="">
      <xdr:nvGraphicFramePr>
        <xdr:cNvPr id="7" name="Chart 6">
          <a:extLst>
            <a:ext uri="{FF2B5EF4-FFF2-40B4-BE49-F238E27FC236}">
              <a16:creationId xmlns:a16="http://schemas.microsoft.com/office/drawing/2014/main" id="{6E856A6E-E11D-AC5D-450F-A2D716058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66676</xdr:colOff>
      <xdr:row>2</xdr:row>
      <xdr:rowOff>66675</xdr:rowOff>
    </xdr:from>
    <xdr:to>
      <xdr:col>6</xdr:col>
      <xdr:colOff>523875</xdr:colOff>
      <xdr:row>9</xdr:row>
      <xdr:rowOff>209550</xdr:rowOff>
    </xdr:to>
    <xdr:graphicFrame macro="">
      <xdr:nvGraphicFramePr>
        <xdr:cNvPr id="2" name="Chart 1">
          <a:extLst>
            <a:ext uri="{FF2B5EF4-FFF2-40B4-BE49-F238E27FC236}">
              <a16:creationId xmlns:a16="http://schemas.microsoft.com/office/drawing/2014/main" id="{DB3A0B28-5A8D-4AB6-8007-43E6659D1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2</xdr:row>
      <xdr:rowOff>66675</xdr:rowOff>
    </xdr:from>
    <xdr:to>
      <xdr:col>12</xdr:col>
      <xdr:colOff>542925</xdr:colOff>
      <xdr:row>9</xdr:row>
      <xdr:rowOff>190500</xdr:rowOff>
    </xdr:to>
    <xdr:graphicFrame macro="">
      <xdr:nvGraphicFramePr>
        <xdr:cNvPr id="3" name="Chart 2">
          <a:extLst>
            <a:ext uri="{FF2B5EF4-FFF2-40B4-BE49-F238E27FC236}">
              <a16:creationId xmlns:a16="http://schemas.microsoft.com/office/drawing/2014/main" id="{3EB9EDCC-3E20-4A9B-AF08-2192620DB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66674</xdr:colOff>
      <xdr:row>18</xdr:row>
      <xdr:rowOff>171450</xdr:rowOff>
    </xdr:from>
    <xdr:to>
      <xdr:col>12</xdr:col>
      <xdr:colOff>533399</xdr:colOff>
      <xdr:row>30</xdr:row>
      <xdr:rowOff>76200</xdr:rowOff>
    </xdr:to>
    <xdr:graphicFrame macro="">
      <xdr:nvGraphicFramePr>
        <xdr:cNvPr id="4" name="Chart 3">
          <a:extLst>
            <a:ext uri="{FF2B5EF4-FFF2-40B4-BE49-F238E27FC236}">
              <a16:creationId xmlns:a16="http://schemas.microsoft.com/office/drawing/2014/main" id="{1FE75B5A-58FA-419C-AC1F-531697DA0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66675</xdr:colOff>
      <xdr:row>10</xdr:row>
      <xdr:rowOff>38100</xdr:rowOff>
    </xdr:from>
    <xdr:to>
      <xdr:col>6</xdr:col>
      <xdr:colOff>542925</xdr:colOff>
      <xdr:row>18</xdr:row>
      <xdr:rowOff>85725</xdr:rowOff>
    </xdr:to>
    <xdr:graphicFrame macro="">
      <xdr:nvGraphicFramePr>
        <xdr:cNvPr id="5" name="Chart 4">
          <a:extLst>
            <a:ext uri="{FF2B5EF4-FFF2-40B4-BE49-F238E27FC236}">
              <a16:creationId xmlns:a16="http://schemas.microsoft.com/office/drawing/2014/main" id="{6BBCBC94-E623-45AC-B36F-6A2B8AB13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xdr:colOff>
      <xdr:row>10</xdr:row>
      <xdr:rowOff>47625</xdr:rowOff>
    </xdr:from>
    <xdr:to>
      <xdr:col>12</xdr:col>
      <xdr:colOff>533400</xdr:colOff>
      <xdr:row>18</xdr:row>
      <xdr:rowOff>85725</xdr:rowOff>
    </xdr:to>
    <xdr:graphicFrame macro="">
      <xdr:nvGraphicFramePr>
        <xdr:cNvPr id="6" name="Chart 5">
          <a:extLst>
            <a:ext uri="{FF2B5EF4-FFF2-40B4-BE49-F238E27FC236}">
              <a16:creationId xmlns:a16="http://schemas.microsoft.com/office/drawing/2014/main" id="{D400AE35-1997-4DDC-B07B-1D2A28114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15</xdr:row>
      <xdr:rowOff>19050</xdr:rowOff>
    </xdr:from>
    <xdr:to>
      <xdr:col>0</xdr:col>
      <xdr:colOff>1533525</xdr:colOff>
      <xdr:row>20</xdr:row>
      <xdr:rowOff>66675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F9354F8-EE06-77FD-74CB-1B66499318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150" y="4757127"/>
              <a:ext cx="1476375" cy="1024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20</xdr:row>
      <xdr:rowOff>142875</xdr:rowOff>
    </xdr:from>
    <xdr:to>
      <xdr:col>0</xdr:col>
      <xdr:colOff>1524000</xdr:colOff>
      <xdr:row>30</xdr:row>
      <xdr:rowOff>57150</xdr:rowOff>
    </xdr:to>
    <mc:AlternateContent xmlns:mc="http://schemas.openxmlformats.org/markup-compatibility/2006">
      <mc:Choice xmlns:a14="http://schemas.microsoft.com/office/drawing/2010/main" Requires="a14">
        <xdr:graphicFrame macro="">
          <xdr:nvGraphicFramePr>
            <xdr:cNvPr id="8" name="Income Group">
              <a:extLst>
                <a:ext uri="{FF2B5EF4-FFF2-40B4-BE49-F238E27FC236}">
                  <a16:creationId xmlns:a16="http://schemas.microsoft.com/office/drawing/2014/main" id="{6E59A30D-5C9A-B579-FB2B-37D39B46B915}"/>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57150" y="5857875"/>
              <a:ext cx="1466850" cy="1868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hif" refreshedDate="46272.306870138891" createdVersion="8" refreshedVersion="8" minRefreshableVersion="3" recordCount="1000" xr:uid="{ABB40475-CEA2-459A-8EA5-DE4423675FF6}">
  <cacheSource type="worksheet">
    <worksheetSource name="bike_buyers"/>
  </cacheSource>
  <cacheFields count="17">
    <cacheField name="ID" numFmtId="0">
      <sharedItems containsSemiMixedTypes="0" containsString="0" containsNumber="1" containsInteger="1" minValue="11000" maxValue="29447"/>
    </cacheField>
    <cacheField name="Marriedarital Singletatus" numFmtId="0">
      <sharedItems/>
    </cacheField>
    <cacheField name="Gender" numFmtId="0">
      <sharedItems count="2">
        <s v="Male"/>
        <s v="Female"/>
      </sharedItems>
    </cacheField>
    <cacheField name="Income" numFmtId="164">
      <sharedItems containsSemiMixedTypes="0" containsString="0" containsNumber="1" containsInteger="1" minValue="10000" maxValue="170000"/>
    </cacheField>
    <cacheField name="Income Group" numFmtId="0">
      <sharedItems count="5">
        <s v="Under 40K"/>
        <s v="80K-99K"/>
        <s v="60K-79K"/>
        <s v="40K-59K"/>
        <s v="100K+"/>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2 Miles"/>
        <s v="5-10 Miles"/>
        <s v="2-5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4">
        <s v="Middle Age"/>
        <s v=" Adult"/>
        <s v="Older Adult"/>
        <s v="Young Adult" u="1"/>
      </sharedItems>
    </cacheField>
    <cacheField name="Purchased Bike" numFmtId="0">
      <sharedItems count="2">
        <s v="No"/>
        <s v="Yes"/>
      </sharedItems>
    </cacheField>
    <cacheField name="Purchased Bike Numerical" numFmtId="0">
      <sharedItems containsMixedTypes="1" containsNumber="1" containsInteger="1" minValue="1" maxValue="1"/>
    </cacheField>
    <cacheField name="Bike Purchaser Rate" numFmtId="0">
      <sharedItems containsNonDate="0" containsString="0" containsBlank="1"/>
    </cacheField>
  </cacheFields>
  <extLst>
    <ext xmlns:x14="http://schemas.microsoft.com/office/spreadsheetml/2009/9/main" uri="{725AE2AE-9491-48be-B2B4-4EB974FC3084}">
      <x14:pivotCacheDefinition pivotCacheId="1242550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4107"/>
    <s v="Married"/>
    <x v="0"/>
    <n v="30000"/>
    <x v="0"/>
    <n v="3"/>
    <s v="Partial College"/>
    <s v="Clerical"/>
    <s v="Yes"/>
    <n v="1"/>
    <x v="0"/>
    <x v="0"/>
    <n v="43"/>
    <x v="0"/>
    <x v="0"/>
    <b v="0"/>
    <m/>
  </r>
  <r>
    <n v="25597"/>
    <s v="Single"/>
    <x v="0"/>
    <n v="30000"/>
    <x v="0"/>
    <n v="0"/>
    <s v="Bachelors"/>
    <s v="Clerical"/>
    <s v="No"/>
    <n v="0"/>
    <x v="0"/>
    <x v="0"/>
    <n v="36"/>
    <x v="1"/>
    <x v="1"/>
    <n v="1"/>
    <m/>
  </r>
  <r>
    <n v="13507"/>
    <s v="Married"/>
    <x v="1"/>
    <n v="10000"/>
    <x v="0"/>
    <n v="2"/>
    <s v="Partial College"/>
    <s v="Manual"/>
    <s v="Yes"/>
    <n v="0"/>
    <x v="1"/>
    <x v="0"/>
    <n v="50"/>
    <x v="0"/>
    <x v="0"/>
    <b v="0"/>
    <m/>
  </r>
  <r>
    <n v="22155"/>
    <s v="Married"/>
    <x v="0"/>
    <n v="20000"/>
    <x v="0"/>
    <n v="2"/>
    <s v="Partial High School"/>
    <s v="Clerical"/>
    <s v="Yes"/>
    <n v="2"/>
    <x v="2"/>
    <x v="1"/>
    <n v="58"/>
    <x v="0"/>
    <x v="0"/>
    <b v="0"/>
    <m/>
  </r>
  <r>
    <n v="22173"/>
    <s v="Married"/>
    <x v="1"/>
    <n v="30000"/>
    <x v="0"/>
    <n v="3"/>
    <s v="High School"/>
    <s v="Skilled Manual"/>
    <s v="No"/>
    <n v="2"/>
    <x v="1"/>
    <x v="1"/>
    <n v="54"/>
    <x v="0"/>
    <x v="1"/>
    <n v="1"/>
    <m/>
  </r>
  <r>
    <n v="20870"/>
    <s v="Single"/>
    <x v="1"/>
    <n v="10000"/>
    <x v="0"/>
    <n v="2"/>
    <s v="High School"/>
    <s v="Manual"/>
    <s v="Yes"/>
    <n v="1"/>
    <x v="0"/>
    <x v="0"/>
    <n v="38"/>
    <x v="1"/>
    <x v="1"/>
    <n v="1"/>
    <m/>
  </r>
  <r>
    <n v="23316"/>
    <s v="Single"/>
    <x v="0"/>
    <n v="30000"/>
    <x v="0"/>
    <n v="3"/>
    <s v="Partial College"/>
    <s v="Clerical"/>
    <s v="No"/>
    <n v="2"/>
    <x v="1"/>
    <x v="1"/>
    <n v="59"/>
    <x v="0"/>
    <x v="1"/>
    <n v="1"/>
    <m/>
  </r>
  <r>
    <n v="12610"/>
    <s v="Married"/>
    <x v="1"/>
    <n v="30000"/>
    <x v="0"/>
    <n v="1"/>
    <s v="Bachelors"/>
    <s v="Clerical"/>
    <s v="Yes"/>
    <n v="0"/>
    <x v="0"/>
    <x v="0"/>
    <n v="47"/>
    <x v="0"/>
    <x v="0"/>
    <b v="0"/>
    <m/>
  </r>
  <r>
    <n v="25940"/>
    <s v="Single"/>
    <x v="0"/>
    <n v="20000"/>
    <x v="0"/>
    <n v="2"/>
    <s v="Partial High School"/>
    <s v="Clerical"/>
    <s v="Yes"/>
    <n v="2"/>
    <x v="2"/>
    <x v="1"/>
    <n v="55"/>
    <x v="0"/>
    <x v="1"/>
    <n v="1"/>
    <m/>
  </r>
  <r>
    <n v="12590"/>
    <s v="Single"/>
    <x v="0"/>
    <n v="30000"/>
    <x v="0"/>
    <n v="1"/>
    <s v="Bachelors"/>
    <s v="Clerical"/>
    <s v="Yes"/>
    <n v="0"/>
    <x v="0"/>
    <x v="0"/>
    <n v="63"/>
    <x v="2"/>
    <x v="0"/>
    <b v="0"/>
    <m/>
  </r>
  <r>
    <n v="17841"/>
    <s v="Single"/>
    <x v="0"/>
    <n v="30000"/>
    <x v="0"/>
    <n v="0"/>
    <s v="Partial College"/>
    <s v="Clerical"/>
    <s v="No"/>
    <n v="1"/>
    <x v="0"/>
    <x v="0"/>
    <n v="29"/>
    <x v="1"/>
    <x v="1"/>
    <n v="1"/>
    <m/>
  </r>
  <r>
    <n v="16466"/>
    <s v="Single"/>
    <x v="1"/>
    <n v="20000"/>
    <x v="0"/>
    <n v="0"/>
    <s v="Partial High School"/>
    <s v="Manual"/>
    <s v="No"/>
    <n v="2"/>
    <x v="0"/>
    <x v="0"/>
    <n v="32"/>
    <x v="1"/>
    <x v="1"/>
    <n v="1"/>
    <m/>
  </r>
  <r>
    <n v="19273"/>
    <s v="Married"/>
    <x v="1"/>
    <n v="20000"/>
    <x v="0"/>
    <n v="2"/>
    <s v="Partial College"/>
    <s v="Manual"/>
    <s v="Yes"/>
    <n v="0"/>
    <x v="0"/>
    <x v="0"/>
    <n v="63"/>
    <x v="2"/>
    <x v="0"/>
    <b v="0"/>
    <m/>
  </r>
  <r>
    <n v="22400"/>
    <s v="Married"/>
    <x v="0"/>
    <n v="10000"/>
    <x v="0"/>
    <n v="0"/>
    <s v="Partial College"/>
    <s v="Manual"/>
    <s v="No"/>
    <n v="1"/>
    <x v="0"/>
    <x v="1"/>
    <n v="26"/>
    <x v="1"/>
    <x v="1"/>
    <n v="1"/>
    <m/>
  </r>
  <r>
    <n v="20942"/>
    <s v="Single"/>
    <x v="1"/>
    <n v="20000"/>
    <x v="0"/>
    <n v="0"/>
    <s v="High School"/>
    <s v="Manual"/>
    <s v="No"/>
    <n v="1"/>
    <x v="2"/>
    <x v="0"/>
    <n v="31"/>
    <x v="1"/>
    <x v="0"/>
    <b v="0"/>
    <m/>
  </r>
  <r>
    <n v="28380"/>
    <s v="Single"/>
    <x v="1"/>
    <n v="10000"/>
    <x v="0"/>
    <n v="5"/>
    <s v="Partial High School"/>
    <s v="Manual"/>
    <s v="No"/>
    <n v="2"/>
    <x v="0"/>
    <x v="0"/>
    <n v="41"/>
    <x v="0"/>
    <x v="0"/>
    <b v="0"/>
    <m/>
  </r>
  <r>
    <n v="17891"/>
    <s v="Married"/>
    <x v="1"/>
    <n v="10000"/>
    <x v="0"/>
    <n v="2"/>
    <s v="Partial College"/>
    <s v="Manual"/>
    <s v="Yes"/>
    <n v="1"/>
    <x v="0"/>
    <x v="0"/>
    <n v="50"/>
    <x v="0"/>
    <x v="1"/>
    <n v="1"/>
    <m/>
  </r>
  <r>
    <n v="27832"/>
    <s v="Single"/>
    <x v="1"/>
    <n v="30000"/>
    <x v="0"/>
    <n v="0"/>
    <s v="Partial College"/>
    <s v="Clerical"/>
    <s v="No"/>
    <n v="1"/>
    <x v="3"/>
    <x v="0"/>
    <n v="30"/>
    <x v="1"/>
    <x v="0"/>
    <b v="0"/>
    <m/>
  </r>
  <r>
    <n v="26863"/>
    <s v="Single"/>
    <x v="0"/>
    <n v="20000"/>
    <x v="0"/>
    <n v="0"/>
    <s v="High School"/>
    <s v="Manual"/>
    <s v="No"/>
    <n v="1"/>
    <x v="3"/>
    <x v="0"/>
    <n v="28"/>
    <x v="1"/>
    <x v="0"/>
    <b v="0"/>
    <m/>
  </r>
  <r>
    <n v="16259"/>
    <s v="Single"/>
    <x v="1"/>
    <n v="10000"/>
    <x v="0"/>
    <n v="4"/>
    <s v="Partial High School"/>
    <s v="Manual"/>
    <s v="Yes"/>
    <n v="2"/>
    <x v="0"/>
    <x v="0"/>
    <n v="40"/>
    <x v="0"/>
    <x v="1"/>
    <n v="1"/>
    <m/>
  </r>
  <r>
    <n v="27803"/>
    <s v="Single"/>
    <x v="1"/>
    <n v="30000"/>
    <x v="0"/>
    <n v="2"/>
    <s v="Partial College"/>
    <s v="Clerical"/>
    <s v="No"/>
    <n v="0"/>
    <x v="0"/>
    <x v="0"/>
    <n v="43"/>
    <x v="0"/>
    <x v="0"/>
    <b v="0"/>
    <m/>
  </r>
  <r>
    <n v="17703"/>
    <s v="Married"/>
    <x v="1"/>
    <n v="10000"/>
    <x v="0"/>
    <n v="1"/>
    <s v="Graduate Degree"/>
    <s v="Manual"/>
    <s v="Yes"/>
    <n v="0"/>
    <x v="0"/>
    <x v="0"/>
    <n v="40"/>
    <x v="0"/>
    <x v="0"/>
    <b v="0"/>
    <m/>
  </r>
  <r>
    <n v="29380"/>
    <s v="Married"/>
    <x v="1"/>
    <n v="20000"/>
    <x v="0"/>
    <n v="3"/>
    <s v="High School"/>
    <s v="Manual"/>
    <s v="Yes"/>
    <n v="0"/>
    <x v="0"/>
    <x v="0"/>
    <n v="41"/>
    <x v="0"/>
    <x v="1"/>
    <n v="1"/>
    <m/>
  </r>
  <r>
    <n v="23986"/>
    <s v="Married"/>
    <x v="1"/>
    <n v="20000"/>
    <x v="0"/>
    <n v="1"/>
    <s v="Bachelors"/>
    <s v="Clerical"/>
    <s v="Yes"/>
    <n v="0"/>
    <x v="0"/>
    <x v="0"/>
    <n v="66"/>
    <x v="2"/>
    <x v="1"/>
    <n v="1"/>
    <m/>
  </r>
  <r>
    <n v="19487"/>
    <s v="Married"/>
    <x v="0"/>
    <n v="30000"/>
    <x v="0"/>
    <n v="2"/>
    <s v="Partial College"/>
    <s v="Clerical"/>
    <s v="No"/>
    <n v="2"/>
    <x v="0"/>
    <x v="0"/>
    <n v="42"/>
    <x v="0"/>
    <x v="0"/>
    <b v="0"/>
    <m/>
  </r>
  <r>
    <n v="13826"/>
    <s v="Single"/>
    <x v="1"/>
    <n v="30000"/>
    <x v="0"/>
    <n v="0"/>
    <s v="Partial College"/>
    <s v="Clerical"/>
    <s v="No"/>
    <n v="1"/>
    <x v="0"/>
    <x v="0"/>
    <n v="28"/>
    <x v="1"/>
    <x v="0"/>
    <b v="0"/>
    <m/>
  </r>
  <r>
    <n v="12558"/>
    <s v="Married"/>
    <x v="1"/>
    <n v="20000"/>
    <x v="0"/>
    <n v="1"/>
    <s v="Bachelors"/>
    <s v="Clerical"/>
    <s v="Yes"/>
    <n v="0"/>
    <x v="0"/>
    <x v="0"/>
    <n v="65"/>
    <x v="2"/>
    <x v="0"/>
    <b v="0"/>
    <m/>
  </r>
  <r>
    <n v="24185"/>
    <s v="Single"/>
    <x v="1"/>
    <n v="10000"/>
    <x v="0"/>
    <n v="1"/>
    <s v="High School"/>
    <s v="Manual"/>
    <s v="No"/>
    <n v="1"/>
    <x v="1"/>
    <x v="0"/>
    <n v="45"/>
    <x v="0"/>
    <x v="0"/>
    <b v="0"/>
    <m/>
  </r>
  <r>
    <n v="19291"/>
    <s v="Single"/>
    <x v="1"/>
    <n v="10000"/>
    <x v="0"/>
    <n v="2"/>
    <s v="High School"/>
    <s v="Manual"/>
    <s v="Yes"/>
    <n v="0"/>
    <x v="0"/>
    <x v="0"/>
    <n v="35"/>
    <x v="1"/>
    <x v="0"/>
    <b v="0"/>
    <m/>
  </r>
  <r>
    <n v="14927"/>
    <s v="Married"/>
    <x v="1"/>
    <n v="30000"/>
    <x v="0"/>
    <n v="1"/>
    <s v="Bachelors"/>
    <s v="Clerical"/>
    <s v="Yes"/>
    <n v="0"/>
    <x v="0"/>
    <x v="0"/>
    <n v="37"/>
    <x v="1"/>
    <x v="1"/>
    <n v="1"/>
    <m/>
  </r>
  <r>
    <n v="29337"/>
    <s v="Single"/>
    <x v="0"/>
    <n v="30000"/>
    <x v="0"/>
    <n v="2"/>
    <s v="Partial College"/>
    <s v="Clerical"/>
    <s v="Yes"/>
    <n v="2"/>
    <x v="2"/>
    <x v="1"/>
    <n v="68"/>
    <x v="2"/>
    <x v="0"/>
    <b v="0"/>
    <m/>
  </r>
  <r>
    <n v="25303"/>
    <s v="Single"/>
    <x v="0"/>
    <n v="30000"/>
    <x v="0"/>
    <n v="0"/>
    <s v="High School"/>
    <s v="Manual"/>
    <s v="Yes"/>
    <n v="1"/>
    <x v="3"/>
    <x v="0"/>
    <n v="33"/>
    <x v="1"/>
    <x v="1"/>
    <n v="1"/>
    <m/>
  </r>
  <r>
    <n v="14813"/>
    <s v="Single"/>
    <x v="1"/>
    <n v="20000"/>
    <x v="0"/>
    <n v="4"/>
    <s v="High School"/>
    <s v="Manual"/>
    <s v="Yes"/>
    <n v="1"/>
    <x v="0"/>
    <x v="0"/>
    <n v="43"/>
    <x v="0"/>
    <x v="1"/>
    <n v="1"/>
    <m/>
  </r>
  <r>
    <n v="16438"/>
    <s v="Married"/>
    <x v="1"/>
    <n v="10000"/>
    <x v="0"/>
    <n v="0"/>
    <s v="Partial High School"/>
    <s v="Manual"/>
    <s v="No"/>
    <n v="2"/>
    <x v="0"/>
    <x v="0"/>
    <n v="30"/>
    <x v="1"/>
    <x v="0"/>
    <b v="0"/>
    <m/>
  </r>
  <r>
    <n v="16200"/>
    <s v="Single"/>
    <x v="1"/>
    <n v="10000"/>
    <x v="0"/>
    <n v="0"/>
    <s v="Partial High School"/>
    <s v="Manual"/>
    <s v="No"/>
    <n v="2"/>
    <x v="0"/>
    <x v="0"/>
    <n v="35"/>
    <x v="1"/>
    <x v="0"/>
    <b v="0"/>
    <m/>
  </r>
  <r>
    <n v="26956"/>
    <s v="Single"/>
    <x v="1"/>
    <n v="20000"/>
    <x v="0"/>
    <n v="0"/>
    <s v="Partial College"/>
    <s v="Manual"/>
    <s v="No"/>
    <n v="1"/>
    <x v="3"/>
    <x v="0"/>
    <n v="36"/>
    <x v="1"/>
    <x v="1"/>
    <n v="1"/>
    <m/>
  </r>
  <r>
    <n v="14517"/>
    <s v="Married"/>
    <x v="1"/>
    <n v="20000"/>
    <x v="0"/>
    <n v="3"/>
    <s v="High School"/>
    <s v="Skilled Manual"/>
    <s v="No"/>
    <n v="2"/>
    <x v="1"/>
    <x v="1"/>
    <n v="62"/>
    <x v="2"/>
    <x v="0"/>
    <b v="0"/>
    <m/>
  </r>
  <r>
    <n v="16188"/>
    <s v="Single"/>
    <x v="1"/>
    <n v="20000"/>
    <x v="0"/>
    <n v="0"/>
    <s v="Partial High School"/>
    <s v="Manual"/>
    <s v="No"/>
    <n v="2"/>
    <x v="1"/>
    <x v="0"/>
    <n v="26"/>
    <x v="1"/>
    <x v="0"/>
    <b v="0"/>
    <m/>
  </r>
  <r>
    <n v="20828"/>
    <s v="Married"/>
    <x v="1"/>
    <n v="30000"/>
    <x v="0"/>
    <n v="4"/>
    <s v="Graduate Degree"/>
    <s v="Clerical"/>
    <s v="Yes"/>
    <n v="0"/>
    <x v="0"/>
    <x v="0"/>
    <n v="45"/>
    <x v="0"/>
    <x v="1"/>
    <n v="1"/>
    <m/>
  </r>
  <r>
    <n v="19461"/>
    <s v="Single"/>
    <x v="1"/>
    <n v="10000"/>
    <x v="0"/>
    <n v="4"/>
    <s v="Partial High School"/>
    <s v="Manual"/>
    <s v="Yes"/>
    <n v="2"/>
    <x v="0"/>
    <x v="0"/>
    <n v="40"/>
    <x v="0"/>
    <x v="0"/>
    <b v="0"/>
    <m/>
  </r>
  <r>
    <n v="26941"/>
    <s v="Married"/>
    <x v="0"/>
    <n v="30000"/>
    <x v="0"/>
    <n v="0"/>
    <s v="Bachelors"/>
    <s v="Clerical"/>
    <s v="Yes"/>
    <n v="0"/>
    <x v="0"/>
    <x v="0"/>
    <n v="47"/>
    <x v="0"/>
    <x v="1"/>
    <n v="1"/>
    <m/>
  </r>
  <r>
    <n v="28412"/>
    <s v="Single"/>
    <x v="0"/>
    <n v="20000"/>
    <x v="0"/>
    <n v="0"/>
    <s v="High School"/>
    <s v="Manual"/>
    <s v="No"/>
    <n v="1"/>
    <x v="3"/>
    <x v="0"/>
    <n v="29"/>
    <x v="1"/>
    <x v="0"/>
    <b v="0"/>
    <m/>
  </r>
  <r>
    <n v="16514"/>
    <s v="Single"/>
    <x v="0"/>
    <n v="10000"/>
    <x v="0"/>
    <n v="0"/>
    <s v="Partial College"/>
    <s v="Manual"/>
    <s v="Yes"/>
    <n v="1"/>
    <x v="1"/>
    <x v="1"/>
    <n v="26"/>
    <x v="1"/>
    <x v="1"/>
    <n v="1"/>
    <m/>
  </r>
  <r>
    <n v="24119"/>
    <s v="Single"/>
    <x v="0"/>
    <n v="30000"/>
    <x v="0"/>
    <n v="0"/>
    <s v="Partial College"/>
    <s v="Clerical"/>
    <s v="No"/>
    <n v="1"/>
    <x v="3"/>
    <x v="0"/>
    <n v="29"/>
    <x v="1"/>
    <x v="0"/>
    <b v="0"/>
    <m/>
  </r>
  <r>
    <n v="25458"/>
    <s v="Married"/>
    <x v="0"/>
    <n v="20000"/>
    <x v="0"/>
    <n v="1"/>
    <s v="High School"/>
    <s v="Manual"/>
    <s v="No"/>
    <n v="1"/>
    <x v="1"/>
    <x v="0"/>
    <n v="40"/>
    <x v="0"/>
    <x v="1"/>
    <n v="1"/>
    <m/>
  </r>
  <r>
    <n v="26886"/>
    <s v="Single"/>
    <x v="1"/>
    <n v="30000"/>
    <x v="0"/>
    <n v="0"/>
    <s v="Partial College"/>
    <s v="Clerical"/>
    <s v="No"/>
    <n v="1"/>
    <x v="0"/>
    <x v="0"/>
    <n v="29"/>
    <x v="1"/>
    <x v="1"/>
    <n v="1"/>
    <m/>
  </r>
  <r>
    <n v="28436"/>
    <s v="Single"/>
    <x v="0"/>
    <n v="30000"/>
    <x v="0"/>
    <n v="0"/>
    <s v="Partial College"/>
    <s v="Clerical"/>
    <s v="No"/>
    <n v="1"/>
    <x v="0"/>
    <x v="0"/>
    <n v="30"/>
    <x v="1"/>
    <x v="1"/>
    <n v="1"/>
    <m/>
  </r>
  <r>
    <n v="15608"/>
    <s v="Single"/>
    <x v="1"/>
    <n v="30000"/>
    <x v="0"/>
    <n v="0"/>
    <s v="Partial College"/>
    <s v="Clerical"/>
    <s v="No"/>
    <n v="1"/>
    <x v="3"/>
    <x v="0"/>
    <n v="33"/>
    <x v="1"/>
    <x v="0"/>
    <b v="0"/>
    <m/>
  </r>
  <r>
    <n v="16487"/>
    <s v="Single"/>
    <x v="1"/>
    <n v="30000"/>
    <x v="0"/>
    <n v="3"/>
    <s v="High School"/>
    <s v="Skilled Manual"/>
    <s v="Yes"/>
    <n v="2"/>
    <x v="2"/>
    <x v="1"/>
    <n v="55"/>
    <x v="0"/>
    <x v="0"/>
    <b v="0"/>
    <m/>
  </r>
  <r>
    <n v="12507"/>
    <s v="Married"/>
    <x v="0"/>
    <n v="30000"/>
    <x v="0"/>
    <n v="1"/>
    <s v="Partial College"/>
    <s v="Clerical"/>
    <s v="Yes"/>
    <n v="1"/>
    <x v="0"/>
    <x v="0"/>
    <n v="43"/>
    <x v="0"/>
    <x v="0"/>
    <b v="0"/>
    <m/>
  </r>
  <r>
    <n v="26852"/>
    <s v="Married"/>
    <x v="1"/>
    <n v="20000"/>
    <x v="0"/>
    <n v="3"/>
    <s v="High School"/>
    <s v="Manual"/>
    <s v="Yes"/>
    <n v="2"/>
    <x v="0"/>
    <x v="0"/>
    <n v="43"/>
    <x v="0"/>
    <x v="0"/>
    <b v="0"/>
    <m/>
  </r>
  <r>
    <n v="12274"/>
    <s v="Single"/>
    <x v="0"/>
    <n v="10000"/>
    <x v="0"/>
    <n v="2"/>
    <s v="High School"/>
    <s v="Manual"/>
    <s v="Yes"/>
    <n v="0"/>
    <x v="0"/>
    <x v="0"/>
    <n v="35"/>
    <x v="1"/>
    <x v="0"/>
    <b v="0"/>
    <m/>
  </r>
  <r>
    <n v="24149"/>
    <s v="Married"/>
    <x v="0"/>
    <n v="10000"/>
    <x v="0"/>
    <n v="2"/>
    <s v="Partial College"/>
    <s v="Manual"/>
    <s v="Yes"/>
    <n v="0"/>
    <x v="1"/>
    <x v="0"/>
    <n v="49"/>
    <x v="0"/>
    <x v="0"/>
    <b v="0"/>
    <m/>
  </r>
  <r>
    <n v="22707"/>
    <s v="Single"/>
    <x v="1"/>
    <n v="30000"/>
    <x v="0"/>
    <n v="0"/>
    <s v="Partial College"/>
    <s v="Clerical"/>
    <s v="No"/>
    <n v="1"/>
    <x v="3"/>
    <x v="0"/>
    <n v="30"/>
    <x v="1"/>
    <x v="0"/>
    <b v="0"/>
    <m/>
  </r>
  <r>
    <n v="21006"/>
    <s v="Single"/>
    <x v="1"/>
    <n v="30000"/>
    <x v="0"/>
    <n v="1"/>
    <s v="Partial College"/>
    <s v="Manual"/>
    <s v="No"/>
    <n v="0"/>
    <x v="0"/>
    <x v="0"/>
    <n v="46"/>
    <x v="0"/>
    <x v="1"/>
    <n v="1"/>
    <m/>
  </r>
  <r>
    <n v="15030"/>
    <s v="Married"/>
    <x v="0"/>
    <n v="20000"/>
    <x v="0"/>
    <n v="0"/>
    <s v="Bachelors"/>
    <s v="Clerical"/>
    <s v="Yes"/>
    <n v="0"/>
    <x v="0"/>
    <x v="1"/>
    <n v="26"/>
    <x v="1"/>
    <x v="1"/>
    <n v="1"/>
    <m/>
  </r>
  <r>
    <n v="24140"/>
    <s v="Single"/>
    <x v="0"/>
    <n v="10000"/>
    <x v="0"/>
    <n v="0"/>
    <s v="Graduate Degree"/>
    <s v="Manual"/>
    <s v="No"/>
    <n v="0"/>
    <x v="0"/>
    <x v="0"/>
    <n v="30"/>
    <x v="1"/>
    <x v="1"/>
    <n v="1"/>
    <m/>
  </r>
  <r>
    <n v="22496"/>
    <s v="Married"/>
    <x v="1"/>
    <n v="30000"/>
    <x v="0"/>
    <n v="1"/>
    <s v="Bachelors"/>
    <s v="Skilled Manual"/>
    <s v="Yes"/>
    <n v="2"/>
    <x v="0"/>
    <x v="0"/>
    <n v="42"/>
    <x v="0"/>
    <x v="0"/>
    <b v="0"/>
    <m/>
  </r>
  <r>
    <n v="24065"/>
    <s v="Single"/>
    <x v="1"/>
    <n v="20000"/>
    <x v="0"/>
    <n v="0"/>
    <s v="High School"/>
    <s v="Manual"/>
    <s v="Yes"/>
    <n v="0"/>
    <x v="0"/>
    <x v="0"/>
    <n v="40"/>
    <x v="0"/>
    <x v="1"/>
    <n v="1"/>
    <m/>
  </r>
  <r>
    <n v="12871"/>
    <s v="Single"/>
    <x v="1"/>
    <n v="30000"/>
    <x v="0"/>
    <n v="0"/>
    <s v="Partial College"/>
    <s v="Clerical"/>
    <s v="No"/>
    <n v="1"/>
    <x v="3"/>
    <x v="0"/>
    <n v="29"/>
    <x v="1"/>
    <x v="0"/>
    <b v="0"/>
    <m/>
  </r>
  <r>
    <n v="12716"/>
    <s v="Single"/>
    <x v="0"/>
    <n v="30000"/>
    <x v="0"/>
    <n v="0"/>
    <s v="Partial College"/>
    <s v="Clerical"/>
    <s v="Yes"/>
    <n v="1"/>
    <x v="3"/>
    <x v="0"/>
    <n v="32"/>
    <x v="1"/>
    <x v="0"/>
    <b v="0"/>
    <m/>
  </r>
  <r>
    <n v="12472"/>
    <s v="Married"/>
    <x v="0"/>
    <n v="30000"/>
    <x v="0"/>
    <n v="1"/>
    <s v="Bachelors"/>
    <s v="Clerical"/>
    <s v="Yes"/>
    <n v="1"/>
    <x v="3"/>
    <x v="0"/>
    <n v="39"/>
    <x v="1"/>
    <x v="0"/>
    <b v="0"/>
    <m/>
  </r>
  <r>
    <n v="20970"/>
    <s v="Single"/>
    <x v="0"/>
    <n v="10000"/>
    <x v="0"/>
    <n v="2"/>
    <s v="Partial College"/>
    <s v="Manual"/>
    <s v="Yes"/>
    <n v="1"/>
    <x v="0"/>
    <x v="0"/>
    <n v="52"/>
    <x v="0"/>
    <x v="1"/>
    <n v="1"/>
    <m/>
  </r>
  <r>
    <n v="26818"/>
    <s v="Single"/>
    <x v="0"/>
    <n v="10000"/>
    <x v="0"/>
    <n v="3"/>
    <s v="High School"/>
    <s v="Manual"/>
    <s v="Yes"/>
    <n v="1"/>
    <x v="0"/>
    <x v="0"/>
    <n v="39"/>
    <x v="1"/>
    <x v="1"/>
    <n v="1"/>
    <m/>
  </r>
  <r>
    <n v="21094"/>
    <s v="Single"/>
    <x v="1"/>
    <n v="30000"/>
    <x v="0"/>
    <n v="2"/>
    <s v="Partial College"/>
    <s v="Clerical"/>
    <s v="Yes"/>
    <n v="2"/>
    <x v="0"/>
    <x v="0"/>
    <n v="42"/>
    <x v="0"/>
    <x v="0"/>
    <b v="0"/>
    <m/>
  </r>
  <r>
    <n v="12234"/>
    <s v="Married"/>
    <x v="0"/>
    <n v="10000"/>
    <x v="0"/>
    <n v="2"/>
    <s v="Partial College"/>
    <s v="Manual"/>
    <s v="Yes"/>
    <n v="1"/>
    <x v="3"/>
    <x v="0"/>
    <n v="52"/>
    <x v="0"/>
    <x v="0"/>
    <b v="0"/>
    <m/>
  </r>
  <r>
    <n v="28683"/>
    <s v="Single"/>
    <x v="1"/>
    <n v="10000"/>
    <x v="0"/>
    <n v="1"/>
    <s v="High School"/>
    <s v="Manual"/>
    <s v="No"/>
    <n v="1"/>
    <x v="2"/>
    <x v="0"/>
    <n v="35"/>
    <x v="1"/>
    <x v="1"/>
    <n v="1"/>
    <m/>
  </r>
  <r>
    <n v="17994"/>
    <s v="Single"/>
    <x v="0"/>
    <n v="20000"/>
    <x v="0"/>
    <n v="2"/>
    <s v="High School"/>
    <s v="Manual"/>
    <s v="Yes"/>
    <n v="2"/>
    <x v="0"/>
    <x v="0"/>
    <n v="42"/>
    <x v="0"/>
    <x v="0"/>
    <b v="0"/>
    <m/>
  </r>
  <r>
    <n v="24273"/>
    <s v="Married"/>
    <x v="1"/>
    <n v="20000"/>
    <x v="0"/>
    <n v="2"/>
    <s v="Partial High School"/>
    <s v="Clerical"/>
    <s v="Yes"/>
    <n v="2"/>
    <x v="2"/>
    <x v="1"/>
    <n v="55"/>
    <x v="0"/>
    <x v="1"/>
    <n v="1"/>
    <m/>
  </r>
  <r>
    <n v="26547"/>
    <s v="Single"/>
    <x v="1"/>
    <n v="30000"/>
    <x v="0"/>
    <n v="2"/>
    <s v="Partial College"/>
    <s v="Clerical"/>
    <s v="No"/>
    <n v="2"/>
    <x v="2"/>
    <x v="1"/>
    <n v="60"/>
    <x v="2"/>
    <x v="1"/>
    <n v="1"/>
    <m/>
  </r>
  <r>
    <n v="23993"/>
    <s v="Single"/>
    <x v="1"/>
    <n v="10000"/>
    <x v="0"/>
    <n v="0"/>
    <s v="Partial College"/>
    <s v="Manual"/>
    <s v="No"/>
    <n v="1"/>
    <x v="0"/>
    <x v="1"/>
    <n v="26"/>
    <x v="1"/>
    <x v="1"/>
    <n v="1"/>
    <m/>
  </r>
  <r>
    <n v="20877"/>
    <s v="Single"/>
    <x v="0"/>
    <n v="30000"/>
    <x v="0"/>
    <n v="1"/>
    <s v="Bachelors"/>
    <s v="Clerical"/>
    <s v="Yes"/>
    <n v="0"/>
    <x v="1"/>
    <x v="0"/>
    <n v="37"/>
    <x v="1"/>
    <x v="1"/>
    <n v="1"/>
    <m/>
  </r>
  <r>
    <n v="19675"/>
    <s v="Married"/>
    <x v="0"/>
    <n v="20000"/>
    <x v="0"/>
    <n v="4"/>
    <s v="High School"/>
    <s v="Skilled Manual"/>
    <s v="Yes"/>
    <n v="2"/>
    <x v="2"/>
    <x v="1"/>
    <n v="60"/>
    <x v="2"/>
    <x v="0"/>
    <b v="0"/>
    <m/>
  </r>
  <r>
    <n v="12728"/>
    <s v="Single"/>
    <x v="0"/>
    <n v="30000"/>
    <x v="0"/>
    <n v="0"/>
    <s v="Partial College"/>
    <s v="Clerical"/>
    <s v="No"/>
    <n v="1"/>
    <x v="1"/>
    <x v="0"/>
    <n v="27"/>
    <x v="1"/>
    <x v="0"/>
    <b v="0"/>
    <m/>
  </r>
  <r>
    <n v="17845"/>
    <s v="Single"/>
    <x v="1"/>
    <n v="20000"/>
    <x v="0"/>
    <n v="0"/>
    <s v="Partial High School"/>
    <s v="Manual"/>
    <s v="No"/>
    <n v="2"/>
    <x v="1"/>
    <x v="0"/>
    <n v="32"/>
    <x v="1"/>
    <x v="0"/>
    <b v="0"/>
    <m/>
  </r>
  <r>
    <n v="14798"/>
    <s v="Single"/>
    <x v="1"/>
    <n v="10000"/>
    <x v="0"/>
    <n v="4"/>
    <s v="Partial High School"/>
    <s v="Manual"/>
    <s v="Yes"/>
    <n v="2"/>
    <x v="0"/>
    <x v="0"/>
    <n v="41"/>
    <x v="0"/>
    <x v="1"/>
    <n v="1"/>
    <m/>
  </r>
  <r>
    <n v="23979"/>
    <s v="Single"/>
    <x v="0"/>
    <n v="10000"/>
    <x v="0"/>
    <n v="2"/>
    <s v="Partial College"/>
    <s v="Manual"/>
    <s v="No"/>
    <n v="0"/>
    <x v="0"/>
    <x v="0"/>
    <n v="50"/>
    <x v="0"/>
    <x v="0"/>
    <b v="0"/>
    <m/>
  </r>
  <r>
    <n v="25605"/>
    <s v="Single"/>
    <x v="1"/>
    <n v="20000"/>
    <x v="0"/>
    <n v="2"/>
    <s v="Partial College"/>
    <s v="Manual"/>
    <s v="No"/>
    <n v="1"/>
    <x v="0"/>
    <x v="0"/>
    <n v="54"/>
    <x v="0"/>
    <x v="1"/>
    <n v="1"/>
    <m/>
  </r>
  <r>
    <n v="20797"/>
    <s v="Married"/>
    <x v="1"/>
    <n v="10000"/>
    <x v="0"/>
    <n v="1"/>
    <s v="Bachelors"/>
    <s v="Manual"/>
    <s v="Yes"/>
    <n v="0"/>
    <x v="0"/>
    <x v="0"/>
    <n v="48"/>
    <x v="0"/>
    <x v="0"/>
    <b v="0"/>
    <m/>
  </r>
  <r>
    <n v="25460"/>
    <s v="Married"/>
    <x v="1"/>
    <n v="20000"/>
    <x v="0"/>
    <n v="2"/>
    <s v="High School"/>
    <s v="Manual"/>
    <s v="Yes"/>
    <n v="0"/>
    <x v="0"/>
    <x v="0"/>
    <n v="40"/>
    <x v="0"/>
    <x v="1"/>
    <n v="1"/>
    <m/>
  </r>
  <r>
    <n v="22402"/>
    <s v="Married"/>
    <x v="0"/>
    <n v="10000"/>
    <x v="0"/>
    <n v="0"/>
    <s v="Partial College"/>
    <s v="Manual"/>
    <s v="Yes"/>
    <n v="1"/>
    <x v="3"/>
    <x v="1"/>
    <n v="25"/>
    <x v="1"/>
    <x v="1"/>
    <n v="1"/>
    <m/>
  </r>
  <r>
    <n v="15465"/>
    <s v="Married"/>
    <x v="1"/>
    <n v="10000"/>
    <x v="0"/>
    <n v="0"/>
    <s v="Partial College"/>
    <s v="Manual"/>
    <s v="No"/>
    <n v="1"/>
    <x v="0"/>
    <x v="1"/>
    <n v="25"/>
    <x v="1"/>
    <x v="0"/>
    <b v="0"/>
    <m/>
  </r>
  <r>
    <n v="12273"/>
    <s v="Married"/>
    <x v="0"/>
    <n v="30000"/>
    <x v="0"/>
    <n v="1"/>
    <s v="Bachelors"/>
    <s v="Clerical"/>
    <s v="Yes"/>
    <n v="0"/>
    <x v="0"/>
    <x v="0"/>
    <n v="47"/>
    <x v="0"/>
    <x v="0"/>
    <b v="0"/>
    <m/>
  </r>
  <r>
    <n v="23963"/>
    <s v="Married"/>
    <x v="0"/>
    <n v="10000"/>
    <x v="0"/>
    <n v="0"/>
    <s v="Partial High School"/>
    <s v="Manual"/>
    <s v="No"/>
    <n v="2"/>
    <x v="0"/>
    <x v="0"/>
    <n v="33"/>
    <x v="1"/>
    <x v="0"/>
    <b v="0"/>
    <m/>
  </r>
  <r>
    <n v="17907"/>
    <s v="Married"/>
    <x v="1"/>
    <n v="10000"/>
    <x v="0"/>
    <n v="0"/>
    <s v="Partial College"/>
    <s v="Manual"/>
    <s v="Yes"/>
    <n v="1"/>
    <x v="3"/>
    <x v="1"/>
    <n v="27"/>
    <x v="1"/>
    <x v="0"/>
    <b v="0"/>
    <m/>
  </r>
  <r>
    <n v="12253"/>
    <s v="Single"/>
    <x v="1"/>
    <n v="20000"/>
    <x v="0"/>
    <n v="0"/>
    <s v="Partial College"/>
    <s v="Manual"/>
    <s v="Yes"/>
    <n v="0"/>
    <x v="0"/>
    <x v="1"/>
    <n v="29"/>
    <x v="1"/>
    <x v="1"/>
    <n v="1"/>
    <m/>
  </r>
  <r>
    <n v="12212"/>
    <s v="Married"/>
    <x v="1"/>
    <n v="10000"/>
    <x v="0"/>
    <n v="0"/>
    <s v="Graduate Degree"/>
    <s v="Manual"/>
    <s v="Yes"/>
    <n v="0"/>
    <x v="0"/>
    <x v="0"/>
    <n v="37"/>
    <x v="1"/>
    <x v="1"/>
    <n v="1"/>
    <m/>
  </r>
  <r>
    <n v="25529"/>
    <s v="Single"/>
    <x v="0"/>
    <n v="10000"/>
    <x v="0"/>
    <n v="1"/>
    <s v="Graduate Degree"/>
    <s v="Manual"/>
    <s v="Yes"/>
    <n v="0"/>
    <x v="0"/>
    <x v="0"/>
    <n v="44"/>
    <x v="0"/>
    <x v="0"/>
    <b v="0"/>
    <m/>
  </r>
  <r>
    <n v="22170"/>
    <s v="Married"/>
    <x v="1"/>
    <n v="30000"/>
    <x v="0"/>
    <n v="3"/>
    <s v="Partial College"/>
    <s v="Clerical"/>
    <s v="No"/>
    <n v="2"/>
    <x v="1"/>
    <x v="1"/>
    <n v="55"/>
    <x v="0"/>
    <x v="1"/>
    <n v="1"/>
    <m/>
  </r>
  <r>
    <n v="19445"/>
    <s v="Married"/>
    <x v="1"/>
    <n v="10000"/>
    <x v="0"/>
    <n v="2"/>
    <s v="High School"/>
    <s v="Manual"/>
    <s v="No"/>
    <n v="1"/>
    <x v="0"/>
    <x v="0"/>
    <n v="38"/>
    <x v="1"/>
    <x v="0"/>
    <b v="0"/>
    <m/>
  </r>
  <r>
    <n v="11047"/>
    <s v="Married"/>
    <x v="1"/>
    <n v="30000"/>
    <x v="0"/>
    <n v="3"/>
    <s v="High School"/>
    <s v="Skilled Manual"/>
    <s v="No"/>
    <n v="2"/>
    <x v="1"/>
    <x v="1"/>
    <n v="56"/>
    <x v="0"/>
    <x v="1"/>
    <n v="1"/>
    <m/>
  </r>
  <r>
    <n v="19482"/>
    <s v="Married"/>
    <x v="0"/>
    <n v="30000"/>
    <x v="0"/>
    <n v="1"/>
    <s v="Partial College"/>
    <s v="Clerical"/>
    <s v="Yes"/>
    <n v="1"/>
    <x v="0"/>
    <x v="0"/>
    <n v="44"/>
    <x v="0"/>
    <x v="1"/>
    <n v="1"/>
    <m/>
  </r>
  <r>
    <n v="16489"/>
    <s v="Married"/>
    <x v="0"/>
    <n v="30000"/>
    <x v="0"/>
    <n v="3"/>
    <s v="High School"/>
    <s v="Skilled Manual"/>
    <s v="Yes"/>
    <n v="2"/>
    <x v="2"/>
    <x v="1"/>
    <n v="55"/>
    <x v="0"/>
    <x v="0"/>
    <b v="0"/>
    <m/>
  </r>
  <r>
    <n v="17843"/>
    <s v="Single"/>
    <x v="1"/>
    <n v="10000"/>
    <x v="0"/>
    <n v="0"/>
    <s v="Partial High School"/>
    <s v="Manual"/>
    <s v="No"/>
    <n v="2"/>
    <x v="0"/>
    <x v="0"/>
    <n v="32"/>
    <x v="1"/>
    <x v="0"/>
    <b v="0"/>
    <m/>
  </r>
  <r>
    <n v="25559"/>
    <s v="Single"/>
    <x v="0"/>
    <n v="20000"/>
    <x v="0"/>
    <n v="0"/>
    <s v="Bachelors"/>
    <s v="Clerical"/>
    <s v="Yes"/>
    <n v="0"/>
    <x v="0"/>
    <x v="1"/>
    <n v="25"/>
    <x v="1"/>
    <x v="1"/>
    <n v="1"/>
    <m/>
  </r>
  <r>
    <n v="12585"/>
    <s v="Married"/>
    <x v="0"/>
    <n v="10000"/>
    <x v="0"/>
    <n v="1"/>
    <s v="High School"/>
    <s v="Manual"/>
    <s v="Yes"/>
    <n v="0"/>
    <x v="3"/>
    <x v="1"/>
    <n v="27"/>
    <x v="1"/>
    <x v="1"/>
    <n v="1"/>
    <m/>
  </r>
  <r>
    <n v="15657"/>
    <s v="Married"/>
    <x v="0"/>
    <n v="30000"/>
    <x v="0"/>
    <n v="3"/>
    <s v="Graduate Degree"/>
    <s v="Clerical"/>
    <s v="Yes"/>
    <n v="0"/>
    <x v="0"/>
    <x v="0"/>
    <n v="46"/>
    <x v="0"/>
    <x v="1"/>
    <n v="1"/>
    <m/>
  </r>
  <r>
    <n v="28729"/>
    <s v="Single"/>
    <x v="1"/>
    <n v="20000"/>
    <x v="0"/>
    <n v="0"/>
    <s v="Partial High School"/>
    <s v="Manual"/>
    <s v="Yes"/>
    <n v="2"/>
    <x v="1"/>
    <x v="0"/>
    <n v="26"/>
    <x v="1"/>
    <x v="1"/>
    <n v="1"/>
    <m/>
  </r>
  <r>
    <n v="25649"/>
    <s v="Single"/>
    <x v="1"/>
    <n v="30000"/>
    <x v="0"/>
    <n v="3"/>
    <s v="Partial College"/>
    <s v="Clerical"/>
    <s v="Yes"/>
    <n v="0"/>
    <x v="0"/>
    <x v="0"/>
    <n v="42"/>
    <x v="0"/>
    <x v="1"/>
    <n v="1"/>
    <m/>
  </r>
  <r>
    <n v="20946"/>
    <s v="Single"/>
    <x v="1"/>
    <n v="30000"/>
    <x v="0"/>
    <n v="0"/>
    <s v="Partial College"/>
    <s v="Clerical"/>
    <s v="No"/>
    <n v="1"/>
    <x v="3"/>
    <x v="0"/>
    <n v="30"/>
    <x v="1"/>
    <x v="0"/>
    <b v="0"/>
    <m/>
  </r>
  <r>
    <n v="25553"/>
    <s v="Married"/>
    <x v="0"/>
    <n v="30000"/>
    <x v="0"/>
    <n v="1"/>
    <s v="Bachelors"/>
    <s v="Clerical"/>
    <s v="Yes"/>
    <n v="0"/>
    <x v="0"/>
    <x v="0"/>
    <n v="65"/>
    <x v="2"/>
    <x v="1"/>
    <n v="1"/>
    <m/>
  </r>
  <r>
    <n v="25026"/>
    <s v="Married"/>
    <x v="0"/>
    <n v="20000"/>
    <x v="0"/>
    <n v="2"/>
    <s v="Partial High School"/>
    <s v="Clerical"/>
    <s v="Yes"/>
    <n v="3"/>
    <x v="2"/>
    <x v="1"/>
    <n v="54"/>
    <x v="0"/>
    <x v="0"/>
    <b v="0"/>
    <m/>
  </r>
  <r>
    <n v="13673"/>
    <s v="Single"/>
    <x v="1"/>
    <n v="20000"/>
    <x v="0"/>
    <n v="0"/>
    <s v="Partial High School"/>
    <s v="Manual"/>
    <s v="No"/>
    <n v="2"/>
    <x v="0"/>
    <x v="0"/>
    <n v="25"/>
    <x v="1"/>
    <x v="0"/>
    <b v="0"/>
    <m/>
  </r>
  <r>
    <n v="16043"/>
    <s v="Single"/>
    <x v="0"/>
    <n v="10000"/>
    <x v="0"/>
    <n v="1"/>
    <s v="Bachelors"/>
    <s v="Manual"/>
    <s v="Yes"/>
    <n v="0"/>
    <x v="0"/>
    <x v="0"/>
    <n v="48"/>
    <x v="0"/>
    <x v="0"/>
    <b v="0"/>
    <m/>
  </r>
  <r>
    <n v="22399"/>
    <s v="Single"/>
    <x v="0"/>
    <n v="10000"/>
    <x v="0"/>
    <n v="0"/>
    <s v="Partial College"/>
    <s v="Manual"/>
    <s v="Yes"/>
    <n v="1"/>
    <x v="1"/>
    <x v="1"/>
    <n v="26"/>
    <x v="1"/>
    <x v="1"/>
    <n v="1"/>
    <m/>
  </r>
  <r>
    <n v="25313"/>
    <s v="Single"/>
    <x v="0"/>
    <n v="10000"/>
    <x v="0"/>
    <n v="0"/>
    <s v="Partial High School"/>
    <s v="Manual"/>
    <s v="No"/>
    <n v="2"/>
    <x v="1"/>
    <x v="0"/>
    <n v="35"/>
    <x v="1"/>
    <x v="0"/>
    <b v="0"/>
    <m/>
  </r>
  <r>
    <n v="13813"/>
    <s v="Married"/>
    <x v="1"/>
    <n v="30000"/>
    <x v="0"/>
    <n v="3"/>
    <s v="Partial College"/>
    <s v="Clerical"/>
    <s v="No"/>
    <n v="0"/>
    <x v="0"/>
    <x v="0"/>
    <n v="42"/>
    <x v="0"/>
    <x v="0"/>
    <b v="0"/>
    <m/>
  </r>
  <r>
    <n v="19650"/>
    <s v="Married"/>
    <x v="1"/>
    <n v="30000"/>
    <x v="0"/>
    <n v="2"/>
    <s v="Partial College"/>
    <s v="Clerical"/>
    <s v="No"/>
    <n v="2"/>
    <x v="0"/>
    <x v="1"/>
    <n v="67"/>
    <x v="2"/>
    <x v="0"/>
    <b v="0"/>
    <m/>
  </r>
  <r>
    <n v="14135"/>
    <s v="Married"/>
    <x v="0"/>
    <n v="20000"/>
    <x v="0"/>
    <n v="1"/>
    <s v="Partial College"/>
    <s v="Manual"/>
    <s v="Yes"/>
    <n v="0"/>
    <x v="1"/>
    <x v="0"/>
    <n v="35"/>
    <x v="1"/>
    <x v="0"/>
    <b v="0"/>
    <m/>
  </r>
  <r>
    <n v="12833"/>
    <s v="Single"/>
    <x v="1"/>
    <n v="20000"/>
    <x v="0"/>
    <n v="3"/>
    <s v="High School"/>
    <s v="Manual"/>
    <s v="Yes"/>
    <n v="1"/>
    <x v="0"/>
    <x v="0"/>
    <n v="42"/>
    <x v="0"/>
    <x v="1"/>
    <n v="1"/>
    <m/>
  </r>
  <r>
    <n v="26849"/>
    <s v="Married"/>
    <x v="0"/>
    <n v="10000"/>
    <x v="0"/>
    <n v="3"/>
    <s v="Partial High School"/>
    <s v="Manual"/>
    <s v="Yes"/>
    <n v="2"/>
    <x v="0"/>
    <x v="0"/>
    <n v="43"/>
    <x v="0"/>
    <x v="0"/>
    <b v="0"/>
    <m/>
  </r>
  <r>
    <n v="20962"/>
    <s v="Married"/>
    <x v="1"/>
    <n v="20000"/>
    <x v="0"/>
    <n v="1"/>
    <s v="Graduate Degree"/>
    <s v="Clerical"/>
    <s v="Yes"/>
    <n v="0"/>
    <x v="0"/>
    <x v="0"/>
    <n v="45"/>
    <x v="0"/>
    <x v="0"/>
    <b v="0"/>
    <m/>
  </r>
  <r>
    <n v="12591"/>
    <s v="Married"/>
    <x v="1"/>
    <n v="30000"/>
    <x v="0"/>
    <n v="4"/>
    <s v="Graduate Degree"/>
    <s v="Clerical"/>
    <s v="Yes"/>
    <n v="0"/>
    <x v="0"/>
    <x v="0"/>
    <n v="45"/>
    <x v="0"/>
    <x v="0"/>
    <b v="0"/>
    <m/>
  </r>
  <r>
    <n v="24174"/>
    <s v="Married"/>
    <x v="0"/>
    <n v="20000"/>
    <x v="0"/>
    <n v="0"/>
    <s v="Bachelors"/>
    <s v="Clerical"/>
    <s v="Yes"/>
    <n v="0"/>
    <x v="0"/>
    <x v="1"/>
    <n v="27"/>
    <x v="1"/>
    <x v="1"/>
    <n v="1"/>
    <m/>
  </r>
  <r>
    <n v="11340"/>
    <s v="Married"/>
    <x v="1"/>
    <n v="10000"/>
    <x v="0"/>
    <n v="1"/>
    <s v="Graduate Degree"/>
    <s v="Clerical"/>
    <s v="Yes"/>
    <n v="0"/>
    <x v="0"/>
    <x v="0"/>
    <n v="70"/>
    <x v="2"/>
    <x v="1"/>
    <n v="1"/>
    <m/>
  </r>
  <r>
    <n v="25693"/>
    <s v="Single"/>
    <x v="1"/>
    <n v="30000"/>
    <x v="0"/>
    <n v="5"/>
    <s v="Graduate Degree"/>
    <s v="Clerical"/>
    <s v="Yes"/>
    <n v="0"/>
    <x v="0"/>
    <x v="0"/>
    <n v="44"/>
    <x v="0"/>
    <x v="1"/>
    <n v="1"/>
    <m/>
  </r>
  <r>
    <n v="25555"/>
    <s v="Married"/>
    <x v="1"/>
    <n v="10000"/>
    <x v="0"/>
    <n v="0"/>
    <s v="Partial College"/>
    <s v="Manual"/>
    <s v="No"/>
    <n v="1"/>
    <x v="0"/>
    <x v="1"/>
    <n v="26"/>
    <x v="1"/>
    <x v="1"/>
    <n v="1"/>
    <m/>
  </r>
  <r>
    <n v="20060"/>
    <s v="Single"/>
    <x v="1"/>
    <n v="30000"/>
    <x v="0"/>
    <n v="0"/>
    <s v="High School"/>
    <s v="Manual"/>
    <s v="No"/>
    <n v="1"/>
    <x v="3"/>
    <x v="0"/>
    <n v="34"/>
    <x v="1"/>
    <x v="1"/>
    <n v="1"/>
    <m/>
  </r>
  <r>
    <n v="17702"/>
    <s v="Married"/>
    <x v="0"/>
    <n v="10000"/>
    <x v="0"/>
    <n v="1"/>
    <s v="Graduate Degree"/>
    <s v="Manual"/>
    <s v="Yes"/>
    <n v="0"/>
    <x v="0"/>
    <x v="0"/>
    <n v="37"/>
    <x v="1"/>
    <x v="0"/>
    <b v="0"/>
    <m/>
  </r>
  <r>
    <n v="12503"/>
    <s v="Single"/>
    <x v="1"/>
    <n v="30000"/>
    <x v="0"/>
    <n v="3"/>
    <s v="Partial College"/>
    <s v="Clerical"/>
    <s v="Yes"/>
    <n v="2"/>
    <x v="0"/>
    <x v="0"/>
    <n v="27"/>
    <x v="1"/>
    <x v="0"/>
    <b v="0"/>
    <m/>
  </r>
  <r>
    <n v="23908"/>
    <s v="Single"/>
    <x v="0"/>
    <n v="30000"/>
    <x v="0"/>
    <n v="1"/>
    <s v="Bachelors"/>
    <s v="Clerical"/>
    <s v="No"/>
    <n v="1"/>
    <x v="0"/>
    <x v="0"/>
    <n v="39"/>
    <x v="1"/>
    <x v="1"/>
    <n v="1"/>
    <m/>
  </r>
  <r>
    <n v="22527"/>
    <s v="Single"/>
    <x v="1"/>
    <n v="20000"/>
    <x v="0"/>
    <n v="0"/>
    <s v="High School"/>
    <s v="Manual"/>
    <s v="No"/>
    <n v="1"/>
    <x v="3"/>
    <x v="0"/>
    <n v="29"/>
    <x v="1"/>
    <x v="0"/>
    <b v="0"/>
    <m/>
  </r>
  <r>
    <n v="13981"/>
    <s v="Married"/>
    <x v="1"/>
    <n v="10000"/>
    <x v="0"/>
    <n v="5"/>
    <s v="High School"/>
    <s v="Skilled Manual"/>
    <s v="No"/>
    <n v="3"/>
    <x v="1"/>
    <x v="1"/>
    <n v="62"/>
    <x v="2"/>
    <x v="0"/>
    <b v="0"/>
    <m/>
  </r>
  <r>
    <n v="21375"/>
    <s v="Single"/>
    <x v="0"/>
    <n v="20000"/>
    <x v="0"/>
    <n v="2"/>
    <s v="Partial High School"/>
    <s v="Clerical"/>
    <s v="Yes"/>
    <n v="2"/>
    <x v="2"/>
    <x v="1"/>
    <n v="57"/>
    <x v="0"/>
    <x v="0"/>
    <b v="0"/>
    <m/>
  </r>
  <r>
    <n v="20839"/>
    <s v="Single"/>
    <x v="1"/>
    <n v="30000"/>
    <x v="0"/>
    <n v="3"/>
    <s v="Graduate Degree"/>
    <s v="Clerical"/>
    <s v="Yes"/>
    <n v="0"/>
    <x v="0"/>
    <x v="0"/>
    <n v="47"/>
    <x v="0"/>
    <x v="1"/>
    <n v="1"/>
    <m/>
  </r>
  <r>
    <n v="21738"/>
    <s v="Married"/>
    <x v="0"/>
    <n v="20000"/>
    <x v="0"/>
    <n v="1"/>
    <s v="Graduate Degree"/>
    <s v="Clerical"/>
    <s v="Yes"/>
    <n v="0"/>
    <x v="0"/>
    <x v="0"/>
    <n v="43"/>
    <x v="0"/>
    <x v="0"/>
    <b v="0"/>
    <m/>
  </r>
  <r>
    <n v="22672"/>
    <s v="Single"/>
    <x v="1"/>
    <n v="30000"/>
    <x v="0"/>
    <n v="2"/>
    <s v="Partial College"/>
    <s v="Clerical"/>
    <s v="Yes"/>
    <n v="0"/>
    <x v="0"/>
    <x v="0"/>
    <n v="43"/>
    <x v="0"/>
    <x v="0"/>
    <b v="0"/>
    <m/>
  </r>
  <r>
    <n v="28468"/>
    <s v="Married"/>
    <x v="1"/>
    <n v="10000"/>
    <x v="0"/>
    <n v="2"/>
    <s v="Partial College"/>
    <s v="Manual"/>
    <s v="Yes"/>
    <n v="0"/>
    <x v="1"/>
    <x v="0"/>
    <n v="51"/>
    <x v="0"/>
    <x v="0"/>
    <b v="0"/>
    <m/>
  </r>
  <r>
    <n v="20919"/>
    <s v="Single"/>
    <x v="1"/>
    <n v="30000"/>
    <x v="0"/>
    <n v="2"/>
    <s v="Partial College"/>
    <s v="Clerical"/>
    <s v="Yes"/>
    <n v="2"/>
    <x v="0"/>
    <x v="0"/>
    <n v="42"/>
    <x v="0"/>
    <x v="0"/>
    <b v="0"/>
    <m/>
  </r>
  <r>
    <n v="20927"/>
    <s v="Single"/>
    <x v="1"/>
    <n v="20000"/>
    <x v="0"/>
    <n v="5"/>
    <s v="High School"/>
    <s v="Manual"/>
    <s v="Yes"/>
    <n v="2"/>
    <x v="0"/>
    <x v="0"/>
    <n v="27"/>
    <x v="1"/>
    <x v="0"/>
    <b v="0"/>
    <m/>
  </r>
  <r>
    <n v="12231"/>
    <s v="Single"/>
    <x v="1"/>
    <n v="10000"/>
    <x v="0"/>
    <n v="2"/>
    <s v="Partial College"/>
    <s v="Manual"/>
    <s v="Yes"/>
    <n v="0"/>
    <x v="0"/>
    <x v="0"/>
    <n v="51"/>
    <x v="0"/>
    <x v="1"/>
    <n v="1"/>
    <m/>
  </r>
  <r>
    <n v="25665"/>
    <s v="Single"/>
    <x v="1"/>
    <n v="20000"/>
    <x v="0"/>
    <n v="0"/>
    <s v="High School"/>
    <s v="Manual"/>
    <s v="No"/>
    <n v="1"/>
    <x v="1"/>
    <x v="0"/>
    <n v="28"/>
    <x v="1"/>
    <x v="0"/>
    <b v="0"/>
    <m/>
  </r>
  <r>
    <n v="24061"/>
    <s v="Married"/>
    <x v="0"/>
    <n v="10000"/>
    <x v="0"/>
    <n v="4"/>
    <s v="Partial High School"/>
    <s v="Manual"/>
    <s v="Yes"/>
    <n v="1"/>
    <x v="0"/>
    <x v="0"/>
    <n v="40"/>
    <x v="0"/>
    <x v="1"/>
    <n v="1"/>
    <m/>
  </r>
  <r>
    <n v="26879"/>
    <s v="Single"/>
    <x v="1"/>
    <n v="20000"/>
    <x v="0"/>
    <n v="0"/>
    <s v="High School"/>
    <s v="Manual"/>
    <s v="No"/>
    <n v="1"/>
    <x v="3"/>
    <x v="0"/>
    <n v="30"/>
    <x v="1"/>
    <x v="0"/>
    <b v="0"/>
    <m/>
  </r>
  <r>
    <n v="12284"/>
    <s v="Married"/>
    <x v="1"/>
    <n v="30000"/>
    <x v="0"/>
    <n v="0"/>
    <s v="Bachelors"/>
    <s v="Clerical"/>
    <s v="No"/>
    <n v="0"/>
    <x v="0"/>
    <x v="0"/>
    <n v="36"/>
    <x v="1"/>
    <x v="1"/>
    <n v="1"/>
    <m/>
  </r>
  <r>
    <n v="14545"/>
    <s v="Married"/>
    <x v="1"/>
    <n v="10000"/>
    <x v="0"/>
    <n v="2"/>
    <s v="Partial College"/>
    <s v="Manual"/>
    <s v="Yes"/>
    <n v="0"/>
    <x v="1"/>
    <x v="0"/>
    <n v="49"/>
    <x v="0"/>
    <x v="0"/>
    <b v="0"/>
    <m/>
  </r>
  <r>
    <n v="24201"/>
    <s v="Married"/>
    <x v="1"/>
    <n v="10000"/>
    <x v="0"/>
    <n v="2"/>
    <s v="High School"/>
    <s v="Manual"/>
    <s v="Yes"/>
    <n v="0"/>
    <x v="0"/>
    <x v="0"/>
    <n v="37"/>
    <x v="1"/>
    <x v="1"/>
    <n v="1"/>
    <m/>
  </r>
  <r>
    <n v="16390"/>
    <s v="Single"/>
    <x v="0"/>
    <n v="30000"/>
    <x v="0"/>
    <n v="1"/>
    <s v="Bachelors"/>
    <s v="Clerical"/>
    <s v="No"/>
    <n v="0"/>
    <x v="0"/>
    <x v="0"/>
    <n v="38"/>
    <x v="1"/>
    <x v="1"/>
    <n v="1"/>
    <m/>
  </r>
  <r>
    <n v="14804"/>
    <s v="Single"/>
    <x v="1"/>
    <n v="10000"/>
    <x v="0"/>
    <n v="3"/>
    <s v="Partial High School"/>
    <s v="Manual"/>
    <s v="Yes"/>
    <n v="2"/>
    <x v="0"/>
    <x v="0"/>
    <n v="43"/>
    <x v="0"/>
    <x v="0"/>
    <b v="0"/>
    <m/>
  </r>
  <r>
    <n v="12629"/>
    <s v="Single"/>
    <x v="0"/>
    <n v="20000"/>
    <x v="0"/>
    <n v="1"/>
    <s v="Partial College"/>
    <s v="Manual"/>
    <s v="No"/>
    <n v="0"/>
    <x v="0"/>
    <x v="0"/>
    <n v="37"/>
    <x v="1"/>
    <x v="0"/>
    <b v="0"/>
    <m/>
  </r>
  <r>
    <n v="14696"/>
    <s v="Single"/>
    <x v="0"/>
    <n v="10000"/>
    <x v="0"/>
    <n v="0"/>
    <s v="Partial High School"/>
    <s v="Manual"/>
    <s v="No"/>
    <n v="2"/>
    <x v="0"/>
    <x v="0"/>
    <n v="34"/>
    <x v="1"/>
    <x v="0"/>
    <b v="0"/>
    <m/>
  </r>
  <r>
    <n v="14544"/>
    <s v="Single"/>
    <x v="0"/>
    <n v="10000"/>
    <x v="0"/>
    <n v="1"/>
    <s v="Partial College"/>
    <s v="Manual"/>
    <s v="Yes"/>
    <n v="0"/>
    <x v="0"/>
    <x v="0"/>
    <n v="49"/>
    <x v="0"/>
    <x v="0"/>
    <b v="0"/>
    <m/>
  </r>
  <r>
    <n v="24187"/>
    <s v="Single"/>
    <x v="1"/>
    <n v="30000"/>
    <x v="0"/>
    <n v="3"/>
    <s v="Graduate Degree"/>
    <s v="Clerical"/>
    <s v="No"/>
    <n v="0"/>
    <x v="0"/>
    <x v="0"/>
    <n v="46"/>
    <x v="0"/>
    <x v="1"/>
    <n v="1"/>
    <m/>
  </r>
  <r>
    <n v="29094"/>
    <s v="Married"/>
    <x v="0"/>
    <n v="30000"/>
    <x v="0"/>
    <n v="3"/>
    <s v="High School"/>
    <s v="Skilled Manual"/>
    <s v="Yes"/>
    <n v="2"/>
    <x v="2"/>
    <x v="1"/>
    <n v="54"/>
    <x v="0"/>
    <x v="1"/>
    <n v="1"/>
    <m/>
  </r>
  <r>
    <n v="11378"/>
    <s v="Single"/>
    <x v="1"/>
    <n v="10000"/>
    <x v="0"/>
    <n v="1"/>
    <s v="High School"/>
    <s v="Manual"/>
    <s v="No"/>
    <n v="1"/>
    <x v="3"/>
    <x v="0"/>
    <n v="46"/>
    <x v="0"/>
    <x v="1"/>
    <n v="1"/>
    <m/>
  </r>
  <r>
    <n v="20851"/>
    <s v="Single"/>
    <x v="0"/>
    <n v="20000"/>
    <x v="0"/>
    <n v="0"/>
    <s v="Partial College"/>
    <s v="Manual"/>
    <s v="No"/>
    <n v="1"/>
    <x v="3"/>
    <x v="0"/>
    <n v="36"/>
    <x v="1"/>
    <x v="1"/>
    <n v="1"/>
    <m/>
  </r>
  <r>
    <n v="13136"/>
    <s v="Married"/>
    <x v="1"/>
    <n v="30000"/>
    <x v="0"/>
    <n v="2"/>
    <s v="Partial College"/>
    <s v="Clerical"/>
    <s v="No"/>
    <n v="2"/>
    <x v="2"/>
    <x v="1"/>
    <n v="69"/>
    <x v="2"/>
    <x v="0"/>
    <b v="0"/>
    <m/>
  </r>
  <r>
    <n v="25906"/>
    <s v="Single"/>
    <x v="1"/>
    <n v="10000"/>
    <x v="0"/>
    <n v="5"/>
    <s v="High School"/>
    <s v="Skilled Manual"/>
    <s v="No"/>
    <n v="2"/>
    <x v="1"/>
    <x v="1"/>
    <n v="62"/>
    <x v="2"/>
    <x v="0"/>
    <b v="0"/>
    <m/>
  </r>
  <r>
    <n v="26928"/>
    <s v="Single"/>
    <x v="0"/>
    <n v="30000"/>
    <x v="0"/>
    <n v="1"/>
    <s v="Bachelors"/>
    <s v="Clerical"/>
    <s v="Yes"/>
    <n v="0"/>
    <x v="0"/>
    <x v="0"/>
    <n v="62"/>
    <x v="2"/>
    <x v="1"/>
    <n v="1"/>
    <m/>
  </r>
  <r>
    <n v="20897"/>
    <s v="Married"/>
    <x v="1"/>
    <n v="30000"/>
    <x v="0"/>
    <n v="1"/>
    <s v="Bachelors"/>
    <s v="Skilled Manual"/>
    <s v="Yes"/>
    <n v="2"/>
    <x v="0"/>
    <x v="0"/>
    <n v="40"/>
    <x v="0"/>
    <x v="0"/>
    <b v="0"/>
    <m/>
  </r>
  <r>
    <n v="25923"/>
    <s v="Single"/>
    <x v="0"/>
    <n v="10000"/>
    <x v="0"/>
    <n v="2"/>
    <s v="Partial High School"/>
    <s v="Clerical"/>
    <s v="Yes"/>
    <n v="2"/>
    <x v="2"/>
    <x v="1"/>
    <n v="58"/>
    <x v="0"/>
    <x v="0"/>
    <b v="0"/>
    <m/>
  </r>
  <r>
    <n v="20974"/>
    <s v="Married"/>
    <x v="0"/>
    <n v="10000"/>
    <x v="0"/>
    <n v="2"/>
    <s v="Bachelors"/>
    <s v="Clerical"/>
    <s v="Yes"/>
    <n v="1"/>
    <x v="0"/>
    <x v="0"/>
    <n v="66"/>
    <x v="2"/>
    <x v="0"/>
    <b v="0"/>
    <m/>
  </r>
  <r>
    <n v="11381"/>
    <s v="Married"/>
    <x v="1"/>
    <n v="20000"/>
    <x v="0"/>
    <n v="2"/>
    <s v="Partial College"/>
    <s v="Manual"/>
    <s v="Yes"/>
    <n v="1"/>
    <x v="3"/>
    <x v="0"/>
    <n v="47"/>
    <x v="0"/>
    <x v="1"/>
    <n v="1"/>
    <m/>
  </r>
  <r>
    <n v="28102"/>
    <s v="Married"/>
    <x v="0"/>
    <n v="20000"/>
    <x v="0"/>
    <n v="4"/>
    <s v="High School"/>
    <s v="Skilled Manual"/>
    <s v="Yes"/>
    <n v="2"/>
    <x v="2"/>
    <x v="1"/>
    <n v="58"/>
    <x v="0"/>
    <x v="1"/>
    <n v="1"/>
    <m/>
  </r>
  <r>
    <n v="14154"/>
    <s v="Married"/>
    <x v="0"/>
    <n v="30000"/>
    <x v="0"/>
    <n v="0"/>
    <s v="Bachelors"/>
    <s v="Clerical"/>
    <s v="Yes"/>
    <n v="0"/>
    <x v="0"/>
    <x v="0"/>
    <n v="35"/>
    <x v="1"/>
    <x v="1"/>
    <n v="1"/>
    <m/>
  </r>
  <r>
    <n v="11386"/>
    <s v="Married"/>
    <x v="1"/>
    <n v="30000"/>
    <x v="0"/>
    <n v="3"/>
    <s v="Bachelors"/>
    <s v="Clerical"/>
    <s v="Yes"/>
    <n v="0"/>
    <x v="0"/>
    <x v="0"/>
    <n v="45"/>
    <x v="0"/>
    <x v="0"/>
    <b v="0"/>
    <m/>
  </r>
  <r>
    <n v="16410"/>
    <s v="Single"/>
    <x v="1"/>
    <n v="10000"/>
    <x v="0"/>
    <n v="4"/>
    <s v="Partial High School"/>
    <s v="Manual"/>
    <s v="Yes"/>
    <n v="2"/>
    <x v="0"/>
    <x v="0"/>
    <n v="41"/>
    <x v="0"/>
    <x v="1"/>
    <n v="1"/>
    <m/>
  </r>
  <r>
    <n v="20994"/>
    <s v="Married"/>
    <x v="1"/>
    <n v="20000"/>
    <x v="0"/>
    <n v="0"/>
    <s v="Bachelors"/>
    <s v="Clerical"/>
    <s v="No"/>
    <n v="0"/>
    <x v="0"/>
    <x v="1"/>
    <n v="26"/>
    <x v="1"/>
    <x v="1"/>
    <n v="1"/>
    <m/>
  </r>
  <r>
    <n v="28379"/>
    <s v="Married"/>
    <x v="0"/>
    <n v="30000"/>
    <x v="0"/>
    <n v="1"/>
    <s v="Bachelors"/>
    <s v="Skilled Manual"/>
    <s v="Yes"/>
    <n v="2"/>
    <x v="0"/>
    <x v="0"/>
    <n v="40"/>
    <x v="0"/>
    <x v="0"/>
    <b v="0"/>
    <m/>
  </r>
  <r>
    <n v="19508"/>
    <s v="Married"/>
    <x v="0"/>
    <n v="10000"/>
    <x v="0"/>
    <n v="0"/>
    <s v="Partial High School"/>
    <s v="Manual"/>
    <s v="No"/>
    <n v="2"/>
    <x v="0"/>
    <x v="0"/>
    <n v="30"/>
    <x v="1"/>
    <x v="0"/>
    <b v="0"/>
    <m/>
  </r>
  <r>
    <n v="11489"/>
    <s v="Single"/>
    <x v="1"/>
    <n v="20000"/>
    <x v="0"/>
    <n v="0"/>
    <s v="Partial High School"/>
    <s v="Manual"/>
    <s v="No"/>
    <n v="2"/>
    <x v="1"/>
    <x v="0"/>
    <n v="35"/>
    <x v="1"/>
    <x v="1"/>
    <n v="1"/>
    <m/>
  </r>
  <r>
    <n v="27165"/>
    <s v="Single"/>
    <x v="0"/>
    <n v="20000"/>
    <x v="0"/>
    <n v="0"/>
    <s v="Partial High School"/>
    <s v="Manual"/>
    <s v="No"/>
    <n v="2"/>
    <x v="0"/>
    <x v="0"/>
    <n v="34"/>
    <x v="1"/>
    <x v="0"/>
    <b v="0"/>
    <m/>
  </r>
  <r>
    <n v="29424"/>
    <s v="Married"/>
    <x v="0"/>
    <n v="10000"/>
    <x v="0"/>
    <n v="0"/>
    <s v="Partial High School"/>
    <s v="Manual"/>
    <s v="Yes"/>
    <n v="2"/>
    <x v="0"/>
    <x v="0"/>
    <n v="32"/>
    <x v="1"/>
    <x v="0"/>
    <b v="0"/>
    <m/>
  </r>
  <r>
    <n v="14554"/>
    <s v="Married"/>
    <x v="0"/>
    <n v="20000"/>
    <x v="0"/>
    <n v="1"/>
    <s v="Bachelors"/>
    <s v="Clerical"/>
    <s v="Yes"/>
    <n v="0"/>
    <x v="0"/>
    <x v="0"/>
    <n v="66"/>
    <x v="2"/>
    <x v="0"/>
    <b v="0"/>
    <m/>
  </r>
  <r>
    <n v="16468"/>
    <s v="Single"/>
    <x v="0"/>
    <n v="30000"/>
    <x v="0"/>
    <n v="0"/>
    <s v="Partial College"/>
    <s v="Clerical"/>
    <s v="Yes"/>
    <n v="1"/>
    <x v="3"/>
    <x v="0"/>
    <n v="30"/>
    <x v="1"/>
    <x v="0"/>
    <b v="0"/>
    <m/>
  </r>
  <r>
    <n v="19174"/>
    <s v="Single"/>
    <x v="1"/>
    <n v="30000"/>
    <x v="0"/>
    <n v="0"/>
    <s v="High School"/>
    <s v="Manual"/>
    <s v="No"/>
    <n v="1"/>
    <x v="3"/>
    <x v="0"/>
    <n v="32"/>
    <x v="1"/>
    <x v="1"/>
    <n v="1"/>
    <m/>
  </r>
  <r>
    <n v="19183"/>
    <s v="Single"/>
    <x v="0"/>
    <n v="10000"/>
    <x v="0"/>
    <n v="0"/>
    <s v="Partial High School"/>
    <s v="Manual"/>
    <s v="Yes"/>
    <n v="2"/>
    <x v="1"/>
    <x v="0"/>
    <n v="35"/>
    <x v="1"/>
    <x v="0"/>
    <b v="0"/>
    <m/>
  </r>
  <r>
    <n v="13683"/>
    <s v="Single"/>
    <x v="1"/>
    <n v="30000"/>
    <x v="0"/>
    <n v="0"/>
    <s v="High School"/>
    <s v="Manual"/>
    <s v="No"/>
    <n v="1"/>
    <x v="3"/>
    <x v="0"/>
    <n v="32"/>
    <x v="1"/>
    <x v="0"/>
    <b v="0"/>
    <m/>
  </r>
  <r>
    <n v="17848"/>
    <s v="Single"/>
    <x v="0"/>
    <n v="30000"/>
    <x v="0"/>
    <n v="0"/>
    <s v="Partial College"/>
    <s v="Clerical"/>
    <s v="No"/>
    <n v="1"/>
    <x v="3"/>
    <x v="0"/>
    <n v="31"/>
    <x v="1"/>
    <x v="1"/>
    <n v="1"/>
    <m/>
  </r>
  <r>
    <n v="17894"/>
    <s v="Married"/>
    <x v="1"/>
    <n v="20000"/>
    <x v="0"/>
    <n v="1"/>
    <s v="Bachelors"/>
    <s v="Clerical"/>
    <s v="Yes"/>
    <n v="0"/>
    <x v="0"/>
    <x v="0"/>
    <n v="50"/>
    <x v="0"/>
    <x v="1"/>
    <n v="1"/>
    <m/>
  </r>
  <r>
    <n v="23915"/>
    <s v="Married"/>
    <x v="0"/>
    <n v="20000"/>
    <x v="0"/>
    <n v="2"/>
    <s v="High School"/>
    <s v="Manual"/>
    <s v="Yes"/>
    <n v="2"/>
    <x v="0"/>
    <x v="0"/>
    <n v="42"/>
    <x v="0"/>
    <x v="0"/>
    <b v="0"/>
    <m/>
  </r>
  <r>
    <n v="24121"/>
    <s v="Single"/>
    <x v="1"/>
    <n v="30000"/>
    <x v="0"/>
    <n v="0"/>
    <s v="Partial College"/>
    <s v="Clerical"/>
    <s v="No"/>
    <n v="1"/>
    <x v="0"/>
    <x v="0"/>
    <n v="29"/>
    <x v="1"/>
    <x v="1"/>
    <n v="1"/>
    <m/>
  </r>
  <r>
    <n v="27878"/>
    <s v="Single"/>
    <x v="0"/>
    <n v="20000"/>
    <x v="0"/>
    <n v="0"/>
    <s v="Partial College"/>
    <s v="Manual"/>
    <s v="No"/>
    <n v="0"/>
    <x v="0"/>
    <x v="1"/>
    <n v="28"/>
    <x v="1"/>
    <x v="1"/>
    <n v="1"/>
    <m/>
  </r>
  <r>
    <n v="13572"/>
    <s v="Single"/>
    <x v="0"/>
    <n v="10000"/>
    <x v="0"/>
    <n v="3"/>
    <s v="High School"/>
    <s v="Manual"/>
    <s v="Yes"/>
    <n v="0"/>
    <x v="0"/>
    <x v="0"/>
    <n v="37"/>
    <x v="1"/>
    <x v="1"/>
    <n v="1"/>
    <m/>
  </r>
  <r>
    <n v="14785"/>
    <s v="Single"/>
    <x v="0"/>
    <n v="30000"/>
    <x v="0"/>
    <n v="1"/>
    <s v="Bachelors"/>
    <s v="Clerical"/>
    <s v="No"/>
    <n v="1"/>
    <x v="1"/>
    <x v="0"/>
    <n v="39"/>
    <x v="1"/>
    <x v="0"/>
    <b v="0"/>
    <m/>
  </r>
  <r>
    <n v="22538"/>
    <s v="Single"/>
    <x v="1"/>
    <n v="10000"/>
    <x v="0"/>
    <n v="0"/>
    <s v="Partial High School"/>
    <s v="Manual"/>
    <s v="Yes"/>
    <n v="2"/>
    <x v="1"/>
    <x v="0"/>
    <n v="33"/>
    <x v="1"/>
    <x v="0"/>
    <b v="0"/>
    <m/>
  </r>
  <r>
    <n v="22518"/>
    <s v="Single"/>
    <x v="1"/>
    <n v="30000"/>
    <x v="0"/>
    <n v="3"/>
    <s v="Partial College"/>
    <s v="Clerical"/>
    <s v="No"/>
    <n v="2"/>
    <x v="0"/>
    <x v="0"/>
    <n v="27"/>
    <x v="1"/>
    <x v="1"/>
    <n v="1"/>
    <m/>
  </r>
  <r>
    <n v="19305"/>
    <s v="Single"/>
    <x v="1"/>
    <n v="10000"/>
    <x v="0"/>
    <n v="2"/>
    <s v="High School"/>
    <s v="Manual"/>
    <s v="Yes"/>
    <n v="1"/>
    <x v="0"/>
    <x v="0"/>
    <n v="38"/>
    <x v="1"/>
    <x v="1"/>
    <n v="1"/>
    <m/>
  </r>
  <r>
    <n v="25918"/>
    <s v="Single"/>
    <x v="1"/>
    <n v="30000"/>
    <x v="0"/>
    <n v="2"/>
    <s v="Partial College"/>
    <s v="Clerical"/>
    <s v="No"/>
    <n v="2"/>
    <x v="2"/>
    <x v="1"/>
    <n v="60"/>
    <x v="2"/>
    <x v="1"/>
    <n v="1"/>
    <m/>
  </r>
  <r>
    <n v="25752"/>
    <s v="Single"/>
    <x v="1"/>
    <n v="20000"/>
    <x v="0"/>
    <n v="2"/>
    <s v="Partial College"/>
    <s v="Manual"/>
    <s v="No"/>
    <n v="1"/>
    <x v="0"/>
    <x v="0"/>
    <n v="53"/>
    <x v="0"/>
    <x v="1"/>
    <n v="1"/>
    <m/>
  </r>
  <r>
    <n v="25512"/>
    <s v="Single"/>
    <x v="0"/>
    <n v="20000"/>
    <x v="0"/>
    <n v="0"/>
    <s v="High School"/>
    <s v="Manual"/>
    <s v="No"/>
    <n v="1"/>
    <x v="3"/>
    <x v="0"/>
    <n v="30"/>
    <x v="1"/>
    <x v="0"/>
    <b v="0"/>
    <m/>
  </r>
  <r>
    <n v="20977"/>
    <s v="Married"/>
    <x v="0"/>
    <n v="20000"/>
    <x v="0"/>
    <n v="1"/>
    <s v="Bachelors"/>
    <s v="Clerical"/>
    <s v="Yes"/>
    <n v="0"/>
    <x v="0"/>
    <x v="0"/>
    <n v="64"/>
    <x v="2"/>
    <x v="1"/>
    <n v="1"/>
    <m/>
  </r>
  <r>
    <n v="20417"/>
    <s v="Married"/>
    <x v="0"/>
    <n v="30000"/>
    <x v="0"/>
    <n v="3"/>
    <s v="Partial College"/>
    <s v="Clerical"/>
    <s v="No"/>
    <n v="2"/>
    <x v="2"/>
    <x v="1"/>
    <n v="56"/>
    <x v="0"/>
    <x v="0"/>
    <b v="0"/>
    <m/>
  </r>
  <r>
    <n v="22974"/>
    <s v="Married"/>
    <x v="1"/>
    <n v="30000"/>
    <x v="0"/>
    <n v="2"/>
    <s v="Partial College"/>
    <s v="Clerical"/>
    <s v="Yes"/>
    <n v="2"/>
    <x v="2"/>
    <x v="1"/>
    <n v="69"/>
    <x v="2"/>
    <x v="0"/>
    <b v="0"/>
    <m/>
  </r>
  <r>
    <n v="12581"/>
    <s v="Single"/>
    <x v="1"/>
    <n v="10000"/>
    <x v="0"/>
    <n v="0"/>
    <s v="Partial College"/>
    <s v="Manual"/>
    <s v="No"/>
    <n v="1"/>
    <x v="0"/>
    <x v="1"/>
    <n v="28"/>
    <x v="1"/>
    <x v="1"/>
    <n v="1"/>
    <m/>
  </r>
  <r>
    <n v="18018"/>
    <s v="Single"/>
    <x v="0"/>
    <n v="30000"/>
    <x v="0"/>
    <n v="3"/>
    <s v="Partial College"/>
    <s v="Clerical"/>
    <s v="Yes"/>
    <n v="0"/>
    <x v="0"/>
    <x v="0"/>
    <n v="43"/>
    <x v="0"/>
    <x v="0"/>
    <b v="0"/>
    <m/>
  </r>
  <r>
    <n v="13690"/>
    <s v="Single"/>
    <x v="1"/>
    <n v="20000"/>
    <x v="0"/>
    <n v="0"/>
    <s v="Partial High School"/>
    <s v="Manual"/>
    <s v="No"/>
    <n v="2"/>
    <x v="1"/>
    <x v="0"/>
    <n v="34"/>
    <x v="1"/>
    <x v="1"/>
    <n v="1"/>
    <m/>
  </r>
  <r>
    <n v="12568"/>
    <s v="Married"/>
    <x v="1"/>
    <n v="30000"/>
    <x v="0"/>
    <n v="1"/>
    <s v="Bachelors"/>
    <s v="Clerical"/>
    <s v="Yes"/>
    <n v="0"/>
    <x v="0"/>
    <x v="0"/>
    <n v="64"/>
    <x v="2"/>
    <x v="0"/>
    <b v="0"/>
    <m/>
  </r>
  <r>
    <n v="24151"/>
    <s v="Single"/>
    <x v="0"/>
    <n v="20000"/>
    <x v="0"/>
    <n v="1"/>
    <s v="Bachelors"/>
    <s v="Clerical"/>
    <s v="No"/>
    <n v="0"/>
    <x v="0"/>
    <x v="0"/>
    <n v="51"/>
    <x v="0"/>
    <x v="0"/>
    <b v="0"/>
    <m/>
  </r>
  <r>
    <n v="23962"/>
    <s v="Married"/>
    <x v="1"/>
    <n v="10000"/>
    <x v="0"/>
    <n v="0"/>
    <s v="Partial High School"/>
    <s v="Manual"/>
    <s v="Yes"/>
    <n v="2"/>
    <x v="1"/>
    <x v="0"/>
    <n v="32"/>
    <x v="1"/>
    <x v="0"/>
    <b v="0"/>
    <m/>
  </r>
  <r>
    <n v="14926"/>
    <s v="Married"/>
    <x v="0"/>
    <n v="30000"/>
    <x v="0"/>
    <n v="1"/>
    <s v="Bachelors"/>
    <s v="Clerical"/>
    <s v="Yes"/>
    <n v="0"/>
    <x v="0"/>
    <x v="0"/>
    <n v="38"/>
    <x v="1"/>
    <x v="1"/>
    <n v="1"/>
    <m/>
  </r>
  <r>
    <n v="21365"/>
    <s v="Married"/>
    <x v="1"/>
    <n v="10000"/>
    <x v="0"/>
    <n v="2"/>
    <s v="Partial High School"/>
    <s v="Clerical"/>
    <s v="Yes"/>
    <n v="2"/>
    <x v="2"/>
    <x v="1"/>
    <n v="58"/>
    <x v="0"/>
    <x v="0"/>
    <b v="0"/>
    <m/>
  </r>
  <r>
    <n v="27771"/>
    <s v="Single"/>
    <x v="0"/>
    <n v="30000"/>
    <x v="0"/>
    <n v="1"/>
    <s v="Bachelors"/>
    <s v="Clerical"/>
    <s v="Yes"/>
    <n v="1"/>
    <x v="1"/>
    <x v="0"/>
    <n v="39"/>
    <x v="1"/>
    <x v="1"/>
    <n v="1"/>
    <m/>
  </r>
  <r>
    <n v="22381"/>
    <s v="Married"/>
    <x v="0"/>
    <n v="10000"/>
    <x v="0"/>
    <n v="1"/>
    <s v="Graduate Degree"/>
    <s v="Manual"/>
    <s v="Yes"/>
    <n v="0"/>
    <x v="0"/>
    <x v="0"/>
    <n v="44"/>
    <x v="0"/>
    <x v="0"/>
    <b v="0"/>
    <m/>
  </r>
  <r>
    <n v="17882"/>
    <s v="Married"/>
    <x v="0"/>
    <n v="20000"/>
    <x v="0"/>
    <n v="1"/>
    <s v="Graduate Degree"/>
    <s v="Clerical"/>
    <s v="Yes"/>
    <n v="0"/>
    <x v="0"/>
    <x v="0"/>
    <n v="44"/>
    <x v="0"/>
    <x v="0"/>
    <b v="0"/>
    <m/>
  </r>
  <r>
    <n v="22174"/>
    <s v="Married"/>
    <x v="0"/>
    <n v="30000"/>
    <x v="0"/>
    <n v="3"/>
    <s v="High School"/>
    <s v="Skilled Manual"/>
    <s v="Yes"/>
    <n v="2"/>
    <x v="2"/>
    <x v="1"/>
    <n v="54"/>
    <x v="0"/>
    <x v="1"/>
    <n v="1"/>
    <m/>
  </r>
  <r>
    <n v="22439"/>
    <s v="Married"/>
    <x v="1"/>
    <n v="30000"/>
    <x v="0"/>
    <n v="0"/>
    <s v="Bachelors"/>
    <s v="Clerical"/>
    <s v="Yes"/>
    <n v="0"/>
    <x v="0"/>
    <x v="0"/>
    <n v="37"/>
    <x v="1"/>
    <x v="1"/>
    <n v="1"/>
    <m/>
  </r>
  <r>
    <n v="20171"/>
    <s v="Married"/>
    <x v="1"/>
    <n v="20000"/>
    <x v="0"/>
    <n v="2"/>
    <s v="Partial College"/>
    <s v="Manual"/>
    <s v="Yes"/>
    <n v="1"/>
    <x v="0"/>
    <x v="0"/>
    <n v="46"/>
    <x v="0"/>
    <x v="1"/>
    <n v="1"/>
    <m/>
  </r>
  <r>
    <n v="25266"/>
    <s v="Single"/>
    <x v="1"/>
    <n v="30000"/>
    <x v="0"/>
    <n v="2"/>
    <s v="Partial College"/>
    <s v="Clerical"/>
    <s v="No"/>
    <n v="2"/>
    <x v="2"/>
    <x v="1"/>
    <n v="67"/>
    <x v="2"/>
    <x v="0"/>
    <b v="0"/>
    <m/>
  </r>
  <r>
    <n v="11139"/>
    <s v="Single"/>
    <x v="1"/>
    <n v="30000"/>
    <x v="0"/>
    <n v="2"/>
    <s v="Partial College"/>
    <s v="Clerical"/>
    <s v="No"/>
    <n v="2"/>
    <x v="2"/>
    <x v="1"/>
    <n v="67"/>
    <x v="2"/>
    <x v="0"/>
    <b v="0"/>
    <m/>
  </r>
  <r>
    <n v="11576"/>
    <s v="Married"/>
    <x v="0"/>
    <n v="30000"/>
    <x v="0"/>
    <n v="1"/>
    <s v="Bachelors"/>
    <s v="Skilled Manual"/>
    <s v="Yes"/>
    <n v="2"/>
    <x v="0"/>
    <x v="0"/>
    <n v="41"/>
    <x v="0"/>
    <x v="1"/>
    <n v="1"/>
    <m/>
  </r>
  <r>
    <n v="19255"/>
    <s v="Single"/>
    <x v="0"/>
    <n v="10000"/>
    <x v="0"/>
    <n v="2"/>
    <s v="Partial College"/>
    <s v="Manual"/>
    <s v="Yes"/>
    <n v="1"/>
    <x v="0"/>
    <x v="0"/>
    <n v="51"/>
    <x v="0"/>
    <x v="1"/>
    <n v="1"/>
    <m/>
  </r>
  <r>
    <n v="14547"/>
    <s v="Married"/>
    <x v="0"/>
    <n v="10000"/>
    <x v="0"/>
    <n v="2"/>
    <s v="Partial College"/>
    <s v="Manual"/>
    <s v="Yes"/>
    <n v="0"/>
    <x v="1"/>
    <x v="0"/>
    <n v="51"/>
    <x v="0"/>
    <x v="0"/>
    <b v="0"/>
    <m/>
  </r>
  <r>
    <n v="27169"/>
    <s v="Single"/>
    <x v="0"/>
    <n v="30000"/>
    <x v="0"/>
    <n v="0"/>
    <s v="High School"/>
    <s v="Manual"/>
    <s v="Yes"/>
    <n v="1"/>
    <x v="3"/>
    <x v="0"/>
    <n v="34"/>
    <x v="1"/>
    <x v="1"/>
    <n v="1"/>
    <m/>
  </r>
  <r>
    <n v="14805"/>
    <s v="Single"/>
    <x v="1"/>
    <n v="10000"/>
    <x v="0"/>
    <n v="3"/>
    <s v="Partial High School"/>
    <s v="Manual"/>
    <s v="Yes"/>
    <n v="2"/>
    <x v="0"/>
    <x v="0"/>
    <n v="43"/>
    <x v="0"/>
    <x v="0"/>
    <b v="0"/>
    <m/>
  </r>
  <r>
    <n v="19389"/>
    <s v="Single"/>
    <x v="0"/>
    <n v="30000"/>
    <x v="0"/>
    <n v="0"/>
    <s v="Partial College"/>
    <s v="Clerical"/>
    <s v="No"/>
    <n v="1"/>
    <x v="3"/>
    <x v="0"/>
    <n v="28"/>
    <x v="1"/>
    <x v="0"/>
    <b v="0"/>
    <m/>
  </r>
  <r>
    <n v="12718"/>
    <s v="Single"/>
    <x v="1"/>
    <n v="30000"/>
    <x v="0"/>
    <n v="0"/>
    <s v="Partial College"/>
    <s v="Clerical"/>
    <s v="Yes"/>
    <n v="1"/>
    <x v="3"/>
    <x v="0"/>
    <n v="31"/>
    <x v="1"/>
    <x v="0"/>
    <b v="0"/>
    <m/>
  </r>
  <r>
    <n v="15019"/>
    <s v="Single"/>
    <x v="1"/>
    <n v="30000"/>
    <x v="0"/>
    <n v="3"/>
    <s v="High School"/>
    <s v="Skilled Manual"/>
    <s v="Yes"/>
    <n v="2"/>
    <x v="2"/>
    <x v="1"/>
    <n v="55"/>
    <x v="0"/>
    <x v="0"/>
    <b v="0"/>
    <m/>
  </r>
  <r>
    <n v="28488"/>
    <s v="Single"/>
    <x v="0"/>
    <n v="20000"/>
    <x v="0"/>
    <n v="0"/>
    <s v="Partial College"/>
    <s v="Manual"/>
    <s v="Yes"/>
    <n v="0"/>
    <x v="0"/>
    <x v="1"/>
    <n v="28"/>
    <x v="1"/>
    <x v="1"/>
    <n v="1"/>
    <m/>
  </r>
  <r>
    <n v="27814"/>
    <s v="Single"/>
    <x v="1"/>
    <n v="30000"/>
    <x v="0"/>
    <n v="3"/>
    <s v="Partial College"/>
    <s v="Clerical"/>
    <s v="No"/>
    <n v="1"/>
    <x v="0"/>
    <x v="0"/>
    <n v="26"/>
    <x v="1"/>
    <x v="0"/>
    <b v="0"/>
    <m/>
  </r>
  <r>
    <n v="22175"/>
    <s v="Married"/>
    <x v="1"/>
    <n v="30000"/>
    <x v="0"/>
    <n v="3"/>
    <s v="High School"/>
    <s v="Skilled Manual"/>
    <s v="Yes"/>
    <n v="2"/>
    <x v="2"/>
    <x v="1"/>
    <n v="53"/>
    <x v="0"/>
    <x v="1"/>
    <n v="1"/>
    <m/>
  </r>
  <r>
    <n v="29447"/>
    <s v="Single"/>
    <x v="1"/>
    <n v="10000"/>
    <x v="0"/>
    <n v="2"/>
    <s v="Bachelors"/>
    <s v="Clerical"/>
    <s v="No"/>
    <n v="1"/>
    <x v="3"/>
    <x v="0"/>
    <n v="68"/>
    <x v="2"/>
    <x v="0"/>
    <b v="0"/>
    <m/>
  </r>
  <r>
    <n v="27824"/>
    <s v="Single"/>
    <x v="1"/>
    <n v="30000"/>
    <x v="0"/>
    <n v="3"/>
    <s v="Partial College"/>
    <s v="Clerical"/>
    <s v="Yes"/>
    <n v="2"/>
    <x v="0"/>
    <x v="0"/>
    <n v="28"/>
    <x v="1"/>
    <x v="1"/>
    <n v="1"/>
    <m/>
  </r>
  <r>
    <n v="12731"/>
    <s v="Single"/>
    <x v="0"/>
    <n v="30000"/>
    <x v="0"/>
    <n v="0"/>
    <s v="High School"/>
    <s v="Manual"/>
    <s v="No"/>
    <n v="1"/>
    <x v="1"/>
    <x v="0"/>
    <n v="32"/>
    <x v="1"/>
    <x v="0"/>
    <b v="0"/>
    <m/>
  </r>
  <r>
    <n v="11383"/>
    <s v="Married"/>
    <x v="1"/>
    <n v="30000"/>
    <x v="0"/>
    <n v="3"/>
    <s v="Graduate Degree"/>
    <s v="Clerical"/>
    <s v="Yes"/>
    <n v="0"/>
    <x v="0"/>
    <x v="0"/>
    <n v="46"/>
    <x v="0"/>
    <x v="0"/>
    <b v="0"/>
    <m/>
  </r>
  <r>
    <n v="16559"/>
    <s v="Single"/>
    <x v="1"/>
    <n v="10000"/>
    <x v="0"/>
    <n v="2"/>
    <s v="High School"/>
    <s v="Manual"/>
    <s v="Yes"/>
    <n v="0"/>
    <x v="0"/>
    <x v="0"/>
    <n v="36"/>
    <x v="1"/>
    <x v="1"/>
    <n v="1"/>
    <m/>
  </r>
  <r>
    <n v="20277"/>
    <s v="Married"/>
    <x v="1"/>
    <n v="30000"/>
    <x v="0"/>
    <n v="2"/>
    <s v="Partial College"/>
    <s v="Clerical"/>
    <s v="No"/>
    <n v="2"/>
    <x v="0"/>
    <x v="1"/>
    <n v="69"/>
    <x v="2"/>
    <x v="0"/>
    <b v="0"/>
    <m/>
  </r>
  <r>
    <n v="12389"/>
    <s v="Single"/>
    <x v="0"/>
    <n v="30000"/>
    <x v="0"/>
    <n v="0"/>
    <s v="High School"/>
    <s v="Manual"/>
    <s v="No"/>
    <n v="1"/>
    <x v="3"/>
    <x v="0"/>
    <n v="34"/>
    <x v="1"/>
    <x v="0"/>
    <b v="0"/>
    <m/>
  </r>
  <r>
    <n v="12236"/>
    <s v="Married"/>
    <x v="1"/>
    <n v="20000"/>
    <x v="0"/>
    <n v="1"/>
    <s v="Partial College"/>
    <s v="Manual"/>
    <s v="Yes"/>
    <n v="0"/>
    <x v="0"/>
    <x v="0"/>
    <n v="65"/>
    <x v="2"/>
    <x v="0"/>
    <b v="0"/>
    <m/>
  </r>
  <r>
    <n v="13662"/>
    <s v="Single"/>
    <x v="0"/>
    <n v="20000"/>
    <x v="0"/>
    <n v="0"/>
    <s v="Partial High School"/>
    <s v="Manual"/>
    <s v="Yes"/>
    <n v="2"/>
    <x v="1"/>
    <x v="0"/>
    <n v="31"/>
    <x v="1"/>
    <x v="1"/>
    <n v="1"/>
    <m/>
  </r>
  <r>
    <n v="19331"/>
    <s v="Single"/>
    <x v="0"/>
    <n v="20000"/>
    <x v="0"/>
    <n v="2"/>
    <s v="High School"/>
    <s v="Manual"/>
    <s v="Yes"/>
    <n v="1"/>
    <x v="0"/>
    <x v="0"/>
    <n v="40"/>
    <x v="0"/>
    <x v="0"/>
    <b v="0"/>
    <m/>
  </r>
  <r>
    <n v="17754"/>
    <s v="Single"/>
    <x v="1"/>
    <n v="30000"/>
    <x v="0"/>
    <n v="3"/>
    <s v="Bachelors"/>
    <s v="Clerical"/>
    <s v="Yes"/>
    <n v="0"/>
    <x v="0"/>
    <x v="0"/>
    <n v="46"/>
    <x v="0"/>
    <x v="1"/>
    <n v="1"/>
    <m/>
  </r>
  <r>
    <n v="16549"/>
    <s v="Single"/>
    <x v="1"/>
    <n v="30000"/>
    <x v="0"/>
    <n v="3"/>
    <s v="Bachelors"/>
    <s v="Clerical"/>
    <s v="Yes"/>
    <n v="0"/>
    <x v="0"/>
    <x v="0"/>
    <n v="47"/>
    <x v="0"/>
    <x v="1"/>
    <n v="1"/>
    <m/>
  </r>
  <r>
    <n v="20147"/>
    <s v="Married"/>
    <x v="1"/>
    <n v="30000"/>
    <x v="0"/>
    <n v="1"/>
    <s v="Bachelors"/>
    <s v="Clerical"/>
    <s v="Yes"/>
    <n v="0"/>
    <x v="0"/>
    <x v="0"/>
    <n v="65"/>
    <x v="2"/>
    <x v="0"/>
    <b v="0"/>
    <m/>
  </r>
  <r>
    <n v="15612"/>
    <s v="Single"/>
    <x v="0"/>
    <n v="30000"/>
    <x v="0"/>
    <n v="0"/>
    <s v="High School"/>
    <s v="Manual"/>
    <s v="No"/>
    <n v="1"/>
    <x v="1"/>
    <x v="0"/>
    <n v="28"/>
    <x v="1"/>
    <x v="0"/>
    <b v="0"/>
    <m/>
  </r>
  <r>
    <n v="15665"/>
    <s v="Married"/>
    <x v="1"/>
    <n v="30000"/>
    <x v="0"/>
    <n v="0"/>
    <s v="Bachelors"/>
    <s v="Clerical"/>
    <s v="Yes"/>
    <n v="0"/>
    <x v="0"/>
    <x v="0"/>
    <n v="47"/>
    <x v="0"/>
    <x v="1"/>
    <n v="1"/>
    <m/>
  </r>
  <r>
    <n v="19748"/>
    <s v="Married"/>
    <x v="0"/>
    <n v="20000"/>
    <x v="0"/>
    <n v="4"/>
    <s v="High School"/>
    <s v="Skilled Manual"/>
    <s v="No"/>
    <n v="2"/>
    <x v="1"/>
    <x v="1"/>
    <n v="60"/>
    <x v="2"/>
    <x v="0"/>
    <b v="0"/>
    <m/>
  </r>
  <r>
    <n v="22610"/>
    <s v="Married"/>
    <x v="0"/>
    <n v="30000"/>
    <x v="0"/>
    <n v="0"/>
    <s v="Bachelors"/>
    <s v="Clerical"/>
    <s v="Yes"/>
    <n v="0"/>
    <x v="0"/>
    <x v="0"/>
    <n v="35"/>
    <x v="1"/>
    <x v="1"/>
    <n v="1"/>
    <m/>
  </r>
  <r>
    <n v="15450"/>
    <s v="Married"/>
    <x v="0"/>
    <n v="10000"/>
    <x v="0"/>
    <n v="1"/>
    <s v="Graduate Degree"/>
    <s v="Clerical"/>
    <s v="Yes"/>
    <n v="0"/>
    <x v="0"/>
    <x v="0"/>
    <n v="70"/>
    <x v="2"/>
    <x v="0"/>
    <b v="0"/>
    <m/>
  </r>
  <r>
    <n v="25681"/>
    <s v="Single"/>
    <x v="1"/>
    <n v="30000"/>
    <x v="0"/>
    <n v="0"/>
    <s v="Partial College"/>
    <s v="Clerical"/>
    <s v="No"/>
    <n v="1"/>
    <x v="3"/>
    <x v="0"/>
    <n v="31"/>
    <x v="1"/>
    <x v="1"/>
    <n v="1"/>
    <m/>
  </r>
  <r>
    <n v="19491"/>
    <s v="Single"/>
    <x v="0"/>
    <n v="30000"/>
    <x v="0"/>
    <n v="2"/>
    <s v="Partial College"/>
    <s v="Clerical"/>
    <s v="Yes"/>
    <n v="2"/>
    <x v="0"/>
    <x v="0"/>
    <n v="42"/>
    <x v="0"/>
    <x v="0"/>
    <b v="0"/>
    <m/>
  </r>
  <r>
    <n v="15629"/>
    <s v="Single"/>
    <x v="1"/>
    <n v="10000"/>
    <x v="0"/>
    <n v="0"/>
    <s v="Partial High School"/>
    <s v="Manual"/>
    <s v="Yes"/>
    <n v="2"/>
    <x v="1"/>
    <x v="0"/>
    <n v="34"/>
    <x v="1"/>
    <x v="0"/>
    <b v="0"/>
    <m/>
  </r>
  <r>
    <n v="27835"/>
    <s v="Married"/>
    <x v="0"/>
    <n v="20000"/>
    <x v="0"/>
    <n v="0"/>
    <s v="Partial High School"/>
    <s v="Manual"/>
    <s v="Yes"/>
    <n v="2"/>
    <x v="0"/>
    <x v="0"/>
    <n v="32"/>
    <x v="1"/>
    <x v="0"/>
    <b v="0"/>
    <m/>
  </r>
  <r>
    <n v="11935"/>
    <s v="Single"/>
    <x v="1"/>
    <n v="30000"/>
    <x v="0"/>
    <n v="0"/>
    <s v="Partial College"/>
    <s v="Skilled Manual"/>
    <s v="Yes"/>
    <n v="1"/>
    <x v="2"/>
    <x v="2"/>
    <n v="28"/>
    <x v="1"/>
    <x v="0"/>
    <b v="0"/>
    <m/>
  </r>
  <r>
    <n v="14092"/>
    <s v="Single"/>
    <x v="0"/>
    <n v="30000"/>
    <x v="0"/>
    <n v="0"/>
    <s v="Partial High School"/>
    <s v="Clerical"/>
    <s v="Yes"/>
    <n v="2"/>
    <x v="2"/>
    <x v="2"/>
    <n v="28"/>
    <x v="1"/>
    <x v="0"/>
    <b v="0"/>
    <m/>
  </r>
  <r>
    <n v="27218"/>
    <s v="Married"/>
    <x v="1"/>
    <n v="20000"/>
    <x v="0"/>
    <n v="2"/>
    <s v="Partial High School"/>
    <s v="Clerical"/>
    <s v="No"/>
    <n v="0"/>
    <x v="0"/>
    <x v="2"/>
    <n v="48"/>
    <x v="0"/>
    <x v="0"/>
    <b v="0"/>
    <m/>
  </r>
  <r>
    <n v="25006"/>
    <s v="Single"/>
    <x v="1"/>
    <n v="30000"/>
    <x v="0"/>
    <n v="0"/>
    <s v="Partial College"/>
    <s v="Skilled Manual"/>
    <s v="Yes"/>
    <n v="1"/>
    <x v="2"/>
    <x v="2"/>
    <n v="28"/>
    <x v="1"/>
    <x v="0"/>
    <b v="0"/>
    <m/>
  </r>
  <r>
    <n v="17369"/>
    <s v="Single"/>
    <x v="0"/>
    <n v="30000"/>
    <x v="0"/>
    <n v="0"/>
    <s v="Partial College"/>
    <s v="Skilled Manual"/>
    <s v="Yes"/>
    <n v="1"/>
    <x v="2"/>
    <x v="2"/>
    <n v="27"/>
    <x v="1"/>
    <x v="0"/>
    <b v="0"/>
    <m/>
  </r>
  <r>
    <n v="23549"/>
    <s v="Single"/>
    <x v="0"/>
    <n v="30000"/>
    <x v="0"/>
    <n v="0"/>
    <s v="High School"/>
    <s v="Skilled Manual"/>
    <s v="Yes"/>
    <n v="2"/>
    <x v="2"/>
    <x v="2"/>
    <n v="30"/>
    <x v="1"/>
    <x v="0"/>
    <b v="0"/>
    <m/>
  </r>
  <r>
    <n v="18058"/>
    <s v="Single"/>
    <x v="1"/>
    <n v="20000"/>
    <x v="0"/>
    <n v="3"/>
    <s v="High School"/>
    <s v="Skilled Manual"/>
    <s v="Yes"/>
    <n v="2"/>
    <x v="3"/>
    <x v="2"/>
    <n v="78"/>
    <x v="2"/>
    <x v="0"/>
    <b v="0"/>
    <m/>
  </r>
  <r>
    <n v="28609"/>
    <s v="Married"/>
    <x v="0"/>
    <n v="30000"/>
    <x v="0"/>
    <n v="2"/>
    <s v="High School"/>
    <s v="Skilled Manual"/>
    <s v="No"/>
    <n v="2"/>
    <x v="0"/>
    <x v="2"/>
    <n v="49"/>
    <x v="0"/>
    <x v="0"/>
    <b v="0"/>
    <m/>
  </r>
  <r>
    <n v="22983"/>
    <s v="Single"/>
    <x v="1"/>
    <n v="30000"/>
    <x v="0"/>
    <n v="0"/>
    <s v="Partial High School"/>
    <s v="Clerical"/>
    <s v="Yes"/>
    <n v="2"/>
    <x v="2"/>
    <x v="2"/>
    <n v="27"/>
    <x v="1"/>
    <x v="0"/>
    <b v="0"/>
    <m/>
  </r>
  <r>
    <n v="25347"/>
    <s v="Single"/>
    <x v="1"/>
    <n v="20000"/>
    <x v="0"/>
    <n v="3"/>
    <s v="Partial High School"/>
    <s v="Clerical"/>
    <s v="No"/>
    <n v="2"/>
    <x v="0"/>
    <x v="2"/>
    <n v="49"/>
    <x v="0"/>
    <x v="0"/>
    <b v="0"/>
    <m/>
  </r>
  <r>
    <n v="24745"/>
    <s v="Single"/>
    <x v="1"/>
    <n v="30000"/>
    <x v="0"/>
    <n v="2"/>
    <s v="High School"/>
    <s v="Skilled Manual"/>
    <s v="No"/>
    <n v="2"/>
    <x v="0"/>
    <x v="2"/>
    <n v="49"/>
    <x v="0"/>
    <x v="0"/>
    <b v="0"/>
    <m/>
  </r>
  <r>
    <n v="13066"/>
    <s v="Single"/>
    <x v="0"/>
    <n v="30000"/>
    <x v="0"/>
    <n v="0"/>
    <s v="High School"/>
    <s v="Skilled Manual"/>
    <s v="No"/>
    <n v="2"/>
    <x v="1"/>
    <x v="2"/>
    <n v="31"/>
    <x v="1"/>
    <x v="1"/>
    <n v="1"/>
    <m/>
  </r>
  <r>
    <n v="19223"/>
    <s v="Married"/>
    <x v="1"/>
    <n v="30000"/>
    <x v="0"/>
    <n v="2"/>
    <s v="High School"/>
    <s v="Skilled Manual"/>
    <s v="Yes"/>
    <n v="2"/>
    <x v="1"/>
    <x v="2"/>
    <n v="48"/>
    <x v="0"/>
    <x v="0"/>
    <b v="0"/>
    <m/>
  </r>
  <r>
    <n v="26248"/>
    <s v="Married"/>
    <x v="0"/>
    <n v="20000"/>
    <x v="0"/>
    <n v="3"/>
    <s v="Partial High School"/>
    <s v="Clerical"/>
    <s v="No"/>
    <n v="2"/>
    <x v="0"/>
    <x v="2"/>
    <n v="52"/>
    <x v="0"/>
    <x v="0"/>
    <b v="0"/>
    <m/>
  </r>
  <r>
    <n v="18910"/>
    <s v="Single"/>
    <x v="0"/>
    <n v="30000"/>
    <x v="0"/>
    <n v="0"/>
    <s v="Partial College"/>
    <s v="Skilled Manual"/>
    <s v="Yes"/>
    <n v="2"/>
    <x v="2"/>
    <x v="2"/>
    <n v="30"/>
    <x v="1"/>
    <x v="0"/>
    <b v="0"/>
    <m/>
  </r>
  <r>
    <n v="16725"/>
    <s v="Married"/>
    <x v="0"/>
    <n v="30000"/>
    <x v="0"/>
    <n v="0"/>
    <s v="High School"/>
    <s v="Skilled Manual"/>
    <s v="Yes"/>
    <n v="2"/>
    <x v="2"/>
    <x v="2"/>
    <n v="26"/>
    <x v="1"/>
    <x v="0"/>
    <b v="0"/>
    <m/>
  </r>
  <r>
    <n v="14090"/>
    <s v="Married"/>
    <x v="1"/>
    <n v="30000"/>
    <x v="0"/>
    <n v="0"/>
    <s v="Partial High School"/>
    <s v="Clerical"/>
    <s v="No"/>
    <n v="2"/>
    <x v="0"/>
    <x v="2"/>
    <n v="28"/>
    <x v="1"/>
    <x v="0"/>
    <b v="0"/>
    <m/>
  </r>
  <r>
    <n v="27040"/>
    <s v="Married"/>
    <x v="0"/>
    <n v="20000"/>
    <x v="0"/>
    <n v="2"/>
    <s v="Partial High School"/>
    <s v="Clerical"/>
    <s v="Yes"/>
    <n v="2"/>
    <x v="1"/>
    <x v="2"/>
    <n v="49"/>
    <x v="0"/>
    <x v="0"/>
    <b v="0"/>
    <m/>
  </r>
  <r>
    <n v="22014"/>
    <s v="Single"/>
    <x v="0"/>
    <n v="30000"/>
    <x v="0"/>
    <n v="0"/>
    <s v="High School"/>
    <s v="Skilled Manual"/>
    <s v="Yes"/>
    <n v="2"/>
    <x v="2"/>
    <x v="2"/>
    <n v="26"/>
    <x v="1"/>
    <x v="0"/>
    <b v="0"/>
    <m/>
  </r>
  <r>
    <n v="23275"/>
    <s v="Married"/>
    <x v="0"/>
    <n v="30000"/>
    <x v="0"/>
    <n v="2"/>
    <s v="High School"/>
    <s v="Skilled Manual"/>
    <s v="Yes"/>
    <n v="2"/>
    <x v="1"/>
    <x v="2"/>
    <n v="49"/>
    <x v="0"/>
    <x v="0"/>
    <b v="0"/>
    <m/>
  </r>
  <r>
    <n v="20084"/>
    <s v="Married"/>
    <x v="0"/>
    <n v="20000"/>
    <x v="0"/>
    <n v="2"/>
    <s v="High School"/>
    <s v="Manual"/>
    <s v="No"/>
    <n v="2"/>
    <x v="0"/>
    <x v="2"/>
    <n v="53"/>
    <x v="0"/>
    <x v="0"/>
    <b v="0"/>
    <m/>
  </r>
  <r>
    <n v="14514"/>
    <s v="Single"/>
    <x v="1"/>
    <n v="30000"/>
    <x v="0"/>
    <n v="0"/>
    <s v="Partial College"/>
    <s v="Skilled Manual"/>
    <s v="Yes"/>
    <n v="1"/>
    <x v="2"/>
    <x v="2"/>
    <n v="26"/>
    <x v="1"/>
    <x v="0"/>
    <b v="0"/>
    <m/>
  </r>
  <r>
    <n v="14077"/>
    <s v="Single"/>
    <x v="0"/>
    <n v="30000"/>
    <x v="0"/>
    <n v="0"/>
    <s v="High School"/>
    <s v="Skilled Manual"/>
    <s v="Yes"/>
    <n v="2"/>
    <x v="2"/>
    <x v="2"/>
    <n v="30"/>
    <x v="1"/>
    <x v="0"/>
    <b v="0"/>
    <m/>
  </r>
  <r>
    <n v="20758"/>
    <s v="Married"/>
    <x v="0"/>
    <n v="30000"/>
    <x v="0"/>
    <n v="2"/>
    <s v="High School"/>
    <s v="Skilled Manual"/>
    <s v="Yes"/>
    <n v="2"/>
    <x v="1"/>
    <x v="2"/>
    <n v="50"/>
    <x v="0"/>
    <x v="0"/>
    <b v="0"/>
    <m/>
  </r>
  <r>
    <n v="18649"/>
    <s v="Single"/>
    <x v="0"/>
    <n v="30000"/>
    <x v="0"/>
    <n v="1"/>
    <s v="High School"/>
    <s v="Clerical"/>
    <s v="Yes"/>
    <n v="2"/>
    <x v="1"/>
    <x v="2"/>
    <n v="51"/>
    <x v="0"/>
    <x v="1"/>
    <n v="1"/>
    <m/>
  </r>
  <r>
    <n v="23797"/>
    <s v="Single"/>
    <x v="0"/>
    <n v="20000"/>
    <x v="0"/>
    <n v="3"/>
    <s v="Partial High School"/>
    <s v="Clerical"/>
    <s v="No"/>
    <n v="2"/>
    <x v="0"/>
    <x v="2"/>
    <n v="50"/>
    <x v="0"/>
    <x v="0"/>
    <b v="0"/>
    <m/>
  </r>
  <r>
    <n v="20076"/>
    <s v="Single"/>
    <x v="1"/>
    <n v="10000"/>
    <x v="0"/>
    <n v="2"/>
    <s v="High School"/>
    <s v="Manual"/>
    <s v="Yes"/>
    <n v="2"/>
    <x v="1"/>
    <x v="2"/>
    <n v="53"/>
    <x v="0"/>
    <x v="1"/>
    <n v="1"/>
    <m/>
  </r>
  <r>
    <n v="26270"/>
    <s v="Single"/>
    <x v="1"/>
    <n v="20000"/>
    <x v="0"/>
    <n v="2"/>
    <s v="Partial High School"/>
    <s v="Clerical"/>
    <s v="Yes"/>
    <n v="2"/>
    <x v="1"/>
    <x v="2"/>
    <n v="49"/>
    <x v="0"/>
    <x v="0"/>
    <b v="0"/>
    <m/>
  </r>
  <r>
    <n v="23256"/>
    <s v="Single"/>
    <x v="0"/>
    <n v="30000"/>
    <x v="0"/>
    <n v="1"/>
    <s v="High School"/>
    <s v="Clerical"/>
    <s v="No"/>
    <n v="1"/>
    <x v="2"/>
    <x v="2"/>
    <n v="52"/>
    <x v="0"/>
    <x v="0"/>
    <b v="0"/>
    <m/>
  </r>
  <r>
    <n v="12768"/>
    <s v="Married"/>
    <x v="0"/>
    <n v="30000"/>
    <x v="0"/>
    <n v="1"/>
    <s v="High School"/>
    <s v="Clerical"/>
    <s v="Yes"/>
    <n v="1"/>
    <x v="3"/>
    <x v="2"/>
    <n v="52"/>
    <x v="0"/>
    <x v="1"/>
    <n v="1"/>
    <m/>
  </r>
  <r>
    <n v="22971"/>
    <s v="Single"/>
    <x v="1"/>
    <n v="30000"/>
    <x v="0"/>
    <n v="0"/>
    <s v="High School"/>
    <s v="Skilled Manual"/>
    <s v="No"/>
    <n v="2"/>
    <x v="0"/>
    <x v="2"/>
    <n v="25"/>
    <x v="1"/>
    <x v="1"/>
    <n v="1"/>
    <m/>
  </r>
  <r>
    <n v="23248"/>
    <s v="Married"/>
    <x v="1"/>
    <n v="10000"/>
    <x v="0"/>
    <n v="2"/>
    <s v="High School"/>
    <s v="Manual"/>
    <s v="Yes"/>
    <n v="2"/>
    <x v="1"/>
    <x v="2"/>
    <n v="53"/>
    <x v="0"/>
    <x v="0"/>
    <b v="0"/>
    <m/>
  </r>
  <r>
    <n v="17668"/>
    <s v="Single"/>
    <x v="0"/>
    <n v="30000"/>
    <x v="0"/>
    <n v="2"/>
    <s v="High School"/>
    <s v="Skilled Manual"/>
    <s v="Yes"/>
    <n v="2"/>
    <x v="1"/>
    <x v="2"/>
    <n v="50"/>
    <x v="0"/>
    <x v="1"/>
    <n v="1"/>
    <m/>
  </r>
  <r>
    <n v="14271"/>
    <s v="Married"/>
    <x v="0"/>
    <n v="30000"/>
    <x v="0"/>
    <n v="0"/>
    <s v="High School"/>
    <s v="Skilled Manual"/>
    <s v="Yes"/>
    <n v="2"/>
    <x v="2"/>
    <x v="2"/>
    <n v="32"/>
    <x v="1"/>
    <x v="0"/>
    <b v="0"/>
    <m/>
  </r>
  <r>
    <n v="25343"/>
    <s v="Single"/>
    <x v="1"/>
    <n v="20000"/>
    <x v="0"/>
    <n v="3"/>
    <s v="Partial High School"/>
    <s v="Clerical"/>
    <s v="Yes"/>
    <n v="2"/>
    <x v="1"/>
    <x v="2"/>
    <n v="50"/>
    <x v="0"/>
    <x v="0"/>
    <b v="0"/>
    <m/>
  </r>
  <r>
    <n v="18347"/>
    <s v="Single"/>
    <x v="1"/>
    <n v="30000"/>
    <x v="0"/>
    <n v="0"/>
    <s v="Partial College"/>
    <s v="Skilled Manual"/>
    <s v="No"/>
    <n v="1"/>
    <x v="1"/>
    <x v="2"/>
    <n v="31"/>
    <x v="1"/>
    <x v="0"/>
    <b v="0"/>
    <m/>
  </r>
  <r>
    <n v="19217"/>
    <s v="Married"/>
    <x v="0"/>
    <n v="30000"/>
    <x v="0"/>
    <n v="2"/>
    <s v="High School"/>
    <s v="Skilled Manual"/>
    <s v="Yes"/>
    <n v="2"/>
    <x v="1"/>
    <x v="2"/>
    <n v="49"/>
    <x v="0"/>
    <x v="0"/>
    <b v="0"/>
    <m/>
  </r>
  <r>
    <n v="15839"/>
    <s v="Single"/>
    <x v="0"/>
    <n v="30000"/>
    <x v="0"/>
    <n v="0"/>
    <s v="Partial College"/>
    <s v="Skilled Manual"/>
    <s v="Yes"/>
    <n v="1"/>
    <x v="2"/>
    <x v="2"/>
    <n v="32"/>
    <x v="1"/>
    <x v="0"/>
    <b v="0"/>
    <m/>
  </r>
  <r>
    <n v="13714"/>
    <s v="Married"/>
    <x v="1"/>
    <n v="20000"/>
    <x v="0"/>
    <n v="2"/>
    <s v="High School"/>
    <s v="Manual"/>
    <s v="No"/>
    <n v="2"/>
    <x v="1"/>
    <x v="2"/>
    <n v="53"/>
    <x v="0"/>
    <x v="1"/>
    <n v="1"/>
    <m/>
  </r>
  <r>
    <n v="24955"/>
    <s v="Single"/>
    <x v="0"/>
    <n v="30000"/>
    <x v="0"/>
    <n v="5"/>
    <s v="Partial High School"/>
    <s v="Skilled Manual"/>
    <s v="Yes"/>
    <n v="3"/>
    <x v="4"/>
    <x v="2"/>
    <n v="60"/>
    <x v="2"/>
    <x v="1"/>
    <n v="1"/>
    <m/>
  </r>
  <r>
    <n v="14883"/>
    <s v="Married"/>
    <x v="1"/>
    <n v="30000"/>
    <x v="0"/>
    <n v="1"/>
    <s v="Bachelors"/>
    <s v="Skilled Manual"/>
    <s v="Yes"/>
    <n v="1"/>
    <x v="2"/>
    <x v="2"/>
    <n v="53"/>
    <x v="0"/>
    <x v="1"/>
    <n v="1"/>
    <m/>
  </r>
  <r>
    <n v="18322"/>
    <s v="Single"/>
    <x v="0"/>
    <n v="30000"/>
    <x v="0"/>
    <n v="0"/>
    <s v="Partial High School"/>
    <s v="Clerical"/>
    <s v="No"/>
    <n v="2"/>
    <x v="0"/>
    <x v="2"/>
    <n v="26"/>
    <x v="1"/>
    <x v="0"/>
    <b v="0"/>
    <m/>
  </r>
  <r>
    <n v="14872"/>
    <s v="Married"/>
    <x v="0"/>
    <n v="30000"/>
    <x v="0"/>
    <n v="0"/>
    <s v="Graduate Degree"/>
    <s v="Skilled Manual"/>
    <s v="Yes"/>
    <n v="0"/>
    <x v="0"/>
    <x v="2"/>
    <n v="32"/>
    <x v="1"/>
    <x v="0"/>
    <b v="0"/>
    <m/>
  </r>
  <r>
    <n v="23801"/>
    <s v="Married"/>
    <x v="1"/>
    <n v="20000"/>
    <x v="0"/>
    <n v="2"/>
    <s v="Partial High School"/>
    <s v="Clerical"/>
    <s v="Yes"/>
    <n v="2"/>
    <x v="0"/>
    <x v="2"/>
    <n v="49"/>
    <x v="0"/>
    <x v="0"/>
    <b v="0"/>
    <m/>
  </r>
  <r>
    <n v="12029"/>
    <s v="Married"/>
    <x v="0"/>
    <n v="30000"/>
    <x v="0"/>
    <n v="0"/>
    <s v="Partial High School"/>
    <s v="Clerical"/>
    <s v="No"/>
    <n v="2"/>
    <x v="0"/>
    <x v="2"/>
    <n v="28"/>
    <x v="1"/>
    <x v="0"/>
    <b v="0"/>
    <m/>
  </r>
  <r>
    <n v="20754"/>
    <s v="Married"/>
    <x v="0"/>
    <n v="30000"/>
    <x v="0"/>
    <n v="2"/>
    <s v="High School"/>
    <s v="Skilled Manual"/>
    <s v="Yes"/>
    <n v="2"/>
    <x v="1"/>
    <x v="2"/>
    <n v="51"/>
    <x v="0"/>
    <x v="0"/>
    <b v="0"/>
    <m/>
  </r>
  <r>
    <n v="18329"/>
    <s v="Single"/>
    <x v="0"/>
    <n v="30000"/>
    <x v="0"/>
    <n v="0"/>
    <s v="Partial High School"/>
    <s v="Clerical"/>
    <s v="No"/>
    <n v="2"/>
    <x v="2"/>
    <x v="2"/>
    <n v="27"/>
    <x v="1"/>
    <x v="0"/>
    <b v="0"/>
    <m/>
  </r>
  <r>
    <n v="14887"/>
    <s v="Married"/>
    <x v="1"/>
    <n v="30000"/>
    <x v="0"/>
    <n v="1"/>
    <s v="High School"/>
    <s v="Clerical"/>
    <s v="Yes"/>
    <n v="1"/>
    <x v="2"/>
    <x v="2"/>
    <n v="52"/>
    <x v="0"/>
    <x v="0"/>
    <b v="0"/>
    <m/>
  </r>
  <r>
    <n v="14332"/>
    <s v="Single"/>
    <x v="1"/>
    <n v="30000"/>
    <x v="0"/>
    <n v="0"/>
    <s v="High School"/>
    <s v="Skilled Manual"/>
    <s v="No"/>
    <n v="2"/>
    <x v="2"/>
    <x v="2"/>
    <n v="26"/>
    <x v="1"/>
    <x v="0"/>
    <b v="0"/>
    <m/>
  </r>
  <r>
    <n v="14177"/>
    <s v="Married"/>
    <x v="0"/>
    <n v="80000"/>
    <x v="1"/>
    <n v="5"/>
    <s v="Partial College"/>
    <s v="Professional"/>
    <s v="No"/>
    <n v="2"/>
    <x v="3"/>
    <x v="0"/>
    <n v="60"/>
    <x v="2"/>
    <x v="0"/>
    <b v="0"/>
    <m/>
  </r>
  <r>
    <n v="12697"/>
    <s v="Single"/>
    <x v="1"/>
    <n v="90000"/>
    <x v="1"/>
    <n v="0"/>
    <s v="Bachelors"/>
    <s v="Professional"/>
    <s v="No"/>
    <n v="4"/>
    <x v="4"/>
    <x v="1"/>
    <n v="36"/>
    <x v="1"/>
    <x v="0"/>
    <b v="0"/>
    <m/>
  </r>
  <r>
    <n v="21564"/>
    <s v="Single"/>
    <x v="1"/>
    <n v="80000"/>
    <x v="1"/>
    <n v="0"/>
    <s v="Bachelors"/>
    <s v="Professional"/>
    <s v="Yes"/>
    <n v="4"/>
    <x v="4"/>
    <x v="1"/>
    <n v="35"/>
    <x v="1"/>
    <x v="0"/>
    <b v="0"/>
    <m/>
  </r>
  <r>
    <n v="26412"/>
    <s v="Married"/>
    <x v="1"/>
    <n v="80000"/>
    <x v="1"/>
    <n v="5"/>
    <s v="High School"/>
    <s v="Management"/>
    <s v="No"/>
    <n v="3"/>
    <x v="2"/>
    <x v="0"/>
    <n v="56"/>
    <x v="0"/>
    <x v="0"/>
    <b v="0"/>
    <m/>
  </r>
  <r>
    <n v="18484"/>
    <s v="Single"/>
    <x v="0"/>
    <n v="80000"/>
    <x v="1"/>
    <n v="2"/>
    <s v="High School"/>
    <s v="Skilled Manual"/>
    <s v="No"/>
    <n v="2"/>
    <x v="1"/>
    <x v="1"/>
    <n v="50"/>
    <x v="0"/>
    <x v="1"/>
    <n v="1"/>
    <m/>
  </r>
  <r>
    <n v="12291"/>
    <s v="Single"/>
    <x v="0"/>
    <n v="90000"/>
    <x v="1"/>
    <n v="5"/>
    <s v="Partial College"/>
    <s v="Professional"/>
    <s v="No"/>
    <n v="2"/>
    <x v="3"/>
    <x v="0"/>
    <n v="62"/>
    <x v="2"/>
    <x v="1"/>
    <n v="1"/>
    <m/>
  </r>
  <r>
    <n v="20619"/>
    <s v="Single"/>
    <x v="0"/>
    <n v="80000"/>
    <x v="1"/>
    <n v="0"/>
    <s v="Bachelors"/>
    <s v="Professional"/>
    <s v="No"/>
    <n v="4"/>
    <x v="4"/>
    <x v="1"/>
    <n v="35"/>
    <x v="1"/>
    <x v="0"/>
    <b v="0"/>
    <m/>
  </r>
  <r>
    <n v="24871"/>
    <s v="Single"/>
    <x v="1"/>
    <n v="90000"/>
    <x v="1"/>
    <n v="4"/>
    <s v="High School"/>
    <s v="Management"/>
    <s v="No"/>
    <n v="3"/>
    <x v="2"/>
    <x v="0"/>
    <n v="56"/>
    <x v="0"/>
    <x v="0"/>
    <b v="0"/>
    <m/>
  </r>
  <r>
    <n v="28906"/>
    <s v="Married"/>
    <x v="0"/>
    <n v="80000"/>
    <x v="1"/>
    <n v="4"/>
    <s v="High School"/>
    <s v="Professional"/>
    <s v="Yes"/>
    <n v="2"/>
    <x v="4"/>
    <x v="0"/>
    <n v="54"/>
    <x v="0"/>
    <x v="0"/>
    <b v="0"/>
    <m/>
  </r>
  <r>
    <n v="27969"/>
    <s v="Married"/>
    <x v="0"/>
    <n v="80000"/>
    <x v="1"/>
    <n v="0"/>
    <s v="Bachelors"/>
    <s v="Professional"/>
    <s v="Yes"/>
    <n v="2"/>
    <x v="4"/>
    <x v="1"/>
    <n v="29"/>
    <x v="1"/>
    <x v="1"/>
    <n v="1"/>
    <m/>
  </r>
  <r>
    <n v="15752"/>
    <s v="Married"/>
    <x v="0"/>
    <n v="80000"/>
    <x v="1"/>
    <n v="2"/>
    <s v="High School"/>
    <s v="Skilled Manual"/>
    <s v="No"/>
    <n v="2"/>
    <x v="1"/>
    <x v="1"/>
    <n v="50"/>
    <x v="0"/>
    <x v="1"/>
    <n v="1"/>
    <m/>
  </r>
  <r>
    <n v="19608"/>
    <s v="Married"/>
    <x v="0"/>
    <n v="80000"/>
    <x v="1"/>
    <n v="5"/>
    <s v="Bachelors"/>
    <s v="Professional"/>
    <s v="Yes"/>
    <n v="4"/>
    <x v="1"/>
    <x v="1"/>
    <n v="40"/>
    <x v="0"/>
    <x v="0"/>
    <b v="0"/>
    <m/>
  </r>
  <r>
    <n v="17197"/>
    <s v="Single"/>
    <x v="1"/>
    <n v="90000"/>
    <x v="1"/>
    <n v="5"/>
    <s v="Partial College"/>
    <s v="Professional"/>
    <s v="Yes"/>
    <n v="2"/>
    <x v="4"/>
    <x v="0"/>
    <n v="62"/>
    <x v="2"/>
    <x v="0"/>
    <b v="0"/>
    <m/>
  </r>
  <r>
    <n v="19914"/>
    <s v="Married"/>
    <x v="0"/>
    <n v="80000"/>
    <x v="1"/>
    <n v="5"/>
    <s v="Bachelors"/>
    <s v="Management"/>
    <s v="Yes"/>
    <n v="2"/>
    <x v="3"/>
    <x v="0"/>
    <n v="62"/>
    <x v="2"/>
    <x v="0"/>
    <b v="0"/>
    <m/>
  </r>
  <r>
    <n v="12344"/>
    <s v="Single"/>
    <x v="1"/>
    <n v="80000"/>
    <x v="1"/>
    <n v="0"/>
    <s v="Bachelors"/>
    <s v="Professional"/>
    <s v="No"/>
    <n v="3"/>
    <x v="4"/>
    <x v="1"/>
    <n v="31"/>
    <x v="1"/>
    <x v="0"/>
    <b v="0"/>
    <m/>
  </r>
  <r>
    <n v="29301"/>
    <s v="Married"/>
    <x v="0"/>
    <n v="80000"/>
    <x v="1"/>
    <n v="5"/>
    <s v="Bachelors"/>
    <s v="Professional"/>
    <s v="Yes"/>
    <n v="4"/>
    <x v="1"/>
    <x v="1"/>
    <n v="40"/>
    <x v="0"/>
    <x v="0"/>
    <b v="0"/>
    <m/>
  </r>
  <r>
    <n v="14192"/>
    <s v="Married"/>
    <x v="0"/>
    <n v="90000"/>
    <x v="1"/>
    <n v="4"/>
    <s v="High School"/>
    <s v="Management"/>
    <s v="Yes"/>
    <n v="3"/>
    <x v="2"/>
    <x v="0"/>
    <n v="56"/>
    <x v="0"/>
    <x v="1"/>
    <n v="1"/>
    <m/>
  </r>
  <r>
    <n v="16614"/>
    <s v="Married"/>
    <x v="1"/>
    <n v="80000"/>
    <x v="1"/>
    <n v="0"/>
    <s v="Bachelors"/>
    <s v="Professional"/>
    <s v="Yes"/>
    <n v="3"/>
    <x v="4"/>
    <x v="1"/>
    <n v="32"/>
    <x v="1"/>
    <x v="0"/>
    <b v="0"/>
    <m/>
  </r>
  <r>
    <n v="23426"/>
    <s v="Single"/>
    <x v="0"/>
    <n v="80000"/>
    <x v="1"/>
    <n v="5"/>
    <s v="Graduate Degree"/>
    <s v="Management"/>
    <s v="Yes"/>
    <n v="3"/>
    <x v="0"/>
    <x v="1"/>
    <n v="40"/>
    <x v="0"/>
    <x v="0"/>
    <b v="0"/>
    <m/>
  </r>
  <r>
    <n v="26757"/>
    <s v="Single"/>
    <x v="0"/>
    <n v="90000"/>
    <x v="1"/>
    <n v="1"/>
    <s v="Bachelors"/>
    <s v="Professional"/>
    <s v="Yes"/>
    <n v="1"/>
    <x v="3"/>
    <x v="1"/>
    <n v="47"/>
    <x v="0"/>
    <x v="1"/>
    <n v="1"/>
    <m/>
  </r>
  <r>
    <n v="18144"/>
    <s v="Married"/>
    <x v="1"/>
    <n v="80000"/>
    <x v="1"/>
    <n v="5"/>
    <s v="Bachelors"/>
    <s v="Management"/>
    <s v="Yes"/>
    <n v="2"/>
    <x v="3"/>
    <x v="0"/>
    <n v="61"/>
    <x v="2"/>
    <x v="0"/>
    <b v="0"/>
    <m/>
  </r>
  <r>
    <n v="17504"/>
    <s v="Single"/>
    <x v="1"/>
    <n v="80000"/>
    <x v="1"/>
    <n v="2"/>
    <s v="Partial College"/>
    <s v="Skilled Manual"/>
    <s v="Yes"/>
    <n v="2"/>
    <x v="2"/>
    <x v="1"/>
    <n v="52"/>
    <x v="0"/>
    <x v="1"/>
    <n v="1"/>
    <m/>
  </r>
  <r>
    <n v="15799"/>
    <s v="Married"/>
    <x v="1"/>
    <n v="90000"/>
    <x v="1"/>
    <n v="1"/>
    <s v="Bachelors"/>
    <s v="Professional"/>
    <s v="Yes"/>
    <n v="1"/>
    <x v="3"/>
    <x v="1"/>
    <n v="47"/>
    <x v="0"/>
    <x v="1"/>
    <n v="1"/>
    <m/>
  </r>
  <r>
    <n v="18151"/>
    <s v="Single"/>
    <x v="0"/>
    <n v="80000"/>
    <x v="1"/>
    <n v="5"/>
    <s v="Partial College"/>
    <s v="Professional"/>
    <s v="No"/>
    <n v="2"/>
    <x v="4"/>
    <x v="0"/>
    <n v="59"/>
    <x v="0"/>
    <x v="0"/>
    <b v="0"/>
    <m/>
  </r>
  <r>
    <n v="26944"/>
    <s v="Single"/>
    <x v="0"/>
    <n v="90000"/>
    <x v="1"/>
    <n v="2"/>
    <s v="High School"/>
    <s v="Manual"/>
    <s v="Yes"/>
    <n v="0"/>
    <x v="0"/>
    <x v="0"/>
    <n v="36"/>
    <x v="1"/>
    <x v="1"/>
    <n v="1"/>
    <m/>
  </r>
  <r>
    <n v="15682"/>
    <s v="Single"/>
    <x v="1"/>
    <n v="80000"/>
    <x v="1"/>
    <n v="5"/>
    <s v="Bachelors"/>
    <s v="Management"/>
    <s v="Yes"/>
    <n v="2"/>
    <x v="4"/>
    <x v="0"/>
    <n v="62"/>
    <x v="2"/>
    <x v="0"/>
    <b v="0"/>
    <m/>
  </r>
  <r>
    <n v="11453"/>
    <s v="Single"/>
    <x v="0"/>
    <n v="80000"/>
    <x v="1"/>
    <n v="0"/>
    <s v="Bachelors"/>
    <s v="Professional"/>
    <s v="No"/>
    <n v="3"/>
    <x v="4"/>
    <x v="1"/>
    <n v="33"/>
    <x v="1"/>
    <x v="1"/>
    <n v="1"/>
    <m/>
  </r>
  <r>
    <n v="24842"/>
    <s v="Single"/>
    <x v="1"/>
    <n v="90000"/>
    <x v="1"/>
    <n v="3"/>
    <s v="High School"/>
    <s v="Professional"/>
    <s v="No"/>
    <n v="1"/>
    <x v="3"/>
    <x v="0"/>
    <n v="51"/>
    <x v="0"/>
    <x v="0"/>
    <b v="0"/>
    <m/>
  </r>
  <r>
    <n v="11415"/>
    <s v="Single"/>
    <x v="0"/>
    <n v="90000"/>
    <x v="1"/>
    <n v="5"/>
    <s v="Partial College"/>
    <s v="Professional"/>
    <s v="No"/>
    <n v="2"/>
    <x v="4"/>
    <x v="0"/>
    <n v="62"/>
    <x v="2"/>
    <x v="0"/>
    <b v="0"/>
    <m/>
  </r>
  <r>
    <n v="14669"/>
    <s v="Married"/>
    <x v="1"/>
    <n v="80000"/>
    <x v="1"/>
    <n v="4"/>
    <s v="Graduate Degree"/>
    <s v="Management"/>
    <s v="Yes"/>
    <n v="1"/>
    <x v="0"/>
    <x v="1"/>
    <n v="36"/>
    <x v="1"/>
    <x v="0"/>
    <b v="0"/>
    <m/>
  </r>
  <r>
    <n v="27951"/>
    <s v="Single"/>
    <x v="0"/>
    <n v="80000"/>
    <x v="1"/>
    <n v="4"/>
    <s v="Partial College"/>
    <s v="Professional"/>
    <s v="No"/>
    <n v="2"/>
    <x v="3"/>
    <x v="0"/>
    <n v="54"/>
    <x v="0"/>
    <x v="1"/>
    <n v="1"/>
    <m/>
  </r>
  <r>
    <n v="28915"/>
    <s v="Single"/>
    <x v="0"/>
    <n v="80000"/>
    <x v="1"/>
    <n v="5"/>
    <s v="High School"/>
    <s v="Management"/>
    <s v="Yes"/>
    <n v="3"/>
    <x v="4"/>
    <x v="0"/>
    <n v="57"/>
    <x v="0"/>
    <x v="0"/>
    <b v="0"/>
    <m/>
  </r>
  <r>
    <n v="24611"/>
    <s v="Single"/>
    <x v="0"/>
    <n v="90000"/>
    <x v="1"/>
    <n v="0"/>
    <s v="Bachelors"/>
    <s v="Professional"/>
    <s v="No"/>
    <n v="4"/>
    <x v="4"/>
    <x v="1"/>
    <n v="35"/>
    <x v="1"/>
    <x v="1"/>
    <n v="1"/>
    <m/>
  </r>
  <r>
    <n v="26654"/>
    <s v="Married"/>
    <x v="1"/>
    <n v="90000"/>
    <x v="1"/>
    <n v="1"/>
    <s v="Graduate Degree"/>
    <s v="Management"/>
    <s v="Yes"/>
    <n v="0"/>
    <x v="0"/>
    <x v="1"/>
    <n v="37"/>
    <x v="1"/>
    <x v="1"/>
    <n v="1"/>
    <m/>
  </r>
  <r>
    <n v="14189"/>
    <s v="Married"/>
    <x v="1"/>
    <n v="90000"/>
    <x v="1"/>
    <n v="4"/>
    <s v="High School"/>
    <s v="Professional"/>
    <s v="No"/>
    <n v="2"/>
    <x v="3"/>
    <x v="0"/>
    <n v="54"/>
    <x v="0"/>
    <x v="1"/>
    <n v="1"/>
    <m/>
  </r>
  <r>
    <n v="28207"/>
    <s v="Married"/>
    <x v="0"/>
    <n v="80000"/>
    <x v="1"/>
    <n v="4"/>
    <s v="Graduate Degree"/>
    <s v="Management"/>
    <s v="Yes"/>
    <n v="1"/>
    <x v="0"/>
    <x v="1"/>
    <n v="36"/>
    <x v="1"/>
    <x v="1"/>
    <n v="1"/>
    <m/>
  </r>
  <r>
    <n v="11000"/>
    <s v="Married"/>
    <x v="0"/>
    <n v="90000"/>
    <x v="1"/>
    <n v="2"/>
    <s v="Bachelors"/>
    <s v="Professional"/>
    <s v="Yes"/>
    <n v="0"/>
    <x v="1"/>
    <x v="1"/>
    <n v="40"/>
    <x v="0"/>
    <x v="1"/>
    <n v="1"/>
    <m/>
  </r>
  <r>
    <n v="18740"/>
    <s v="Married"/>
    <x v="0"/>
    <n v="80000"/>
    <x v="1"/>
    <n v="5"/>
    <s v="Bachelors"/>
    <s v="Professional"/>
    <s v="No"/>
    <n v="1"/>
    <x v="0"/>
    <x v="1"/>
    <n v="47"/>
    <x v="0"/>
    <x v="1"/>
    <n v="1"/>
    <m/>
  </r>
  <r>
    <n v="22930"/>
    <s v="Married"/>
    <x v="0"/>
    <n v="90000"/>
    <x v="1"/>
    <n v="4"/>
    <s v="Bachelors"/>
    <s v="Professional"/>
    <s v="Yes"/>
    <n v="0"/>
    <x v="1"/>
    <x v="1"/>
    <n v="38"/>
    <x v="1"/>
    <x v="1"/>
    <n v="1"/>
    <m/>
  </r>
  <r>
    <n v="12663"/>
    <s v="Married"/>
    <x v="1"/>
    <n v="90000"/>
    <x v="1"/>
    <n v="5"/>
    <s v="Partial High School"/>
    <s v="Skilled Manual"/>
    <s v="Yes"/>
    <n v="2"/>
    <x v="4"/>
    <x v="0"/>
    <n v="59"/>
    <x v="0"/>
    <x v="0"/>
    <b v="0"/>
    <m/>
  </r>
  <r>
    <n v="24898"/>
    <s v="Single"/>
    <x v="1"/>
    <n v="80000"/>
    <x v="1"/>
    <n v="0"/>
    <s v="Bachelors"/>
    <s v="Professional"/>
    <s v="Yes"/>
    <n v="3"/>
    <x v="4"/>
    <x v="1"/>
    <n v="32"/>
    <x v="1"/>
    <x v="0"/>
    <b v="0"/>
    <m/>
  </r>
  <r>
    <n v="25241"/>
    <s v="Married"/>
    <x v="0"/>
    <n v="90000"/>
    <x v="1"/>
    <n v="2"/>
    <s v="Bachelors"/>
    <s v="Professional"/>
    <s v="Yes"/>
    <n v="1"/>
    <x v="2"/>
    <x v="1"/>
    <n v="47"/>
    <x v="0"/>
    <x v="0"/>
    <b v="0"/>
    <m/>
  </r>
  <r>
    <n v="24369"/>
    <s v="Married"/>
    <x v="0"/>
    <n v="80000"/>
    <x v="1"/>
    <n v="5"/>
    <s v="Graduate Degree"/>
    <s v="Management"/>
    <s v="No"/>
    <n v="2"/>
    <x v="0"/>
    <x v="1"/>
    <n v="39"/>
    <x v="1"/>
    <x v="0"/>
    <b v="0"/>
    <m/>
  </r>
  <r>
    <n v="27941"/>
    <s v="Married"/>
    <x v="1"/>
    <n v="80000"/>
    <x v="1"/>
    <n v="4"/>
    <s v="Partial College"/>
    <s v="Professional"/>
    <s v="Yes"/>
    <n v="2"/>
    <x v="3"/>
    <x v="0"/>
    <n v="53"/>
    <x v="0"/>
    <x v="0"/>
    <b v="0"/>
    <m/>
  </r>
  <r>
    <n v="17238"/>
    <s v="Single"/>
    <x v="0"/>
    <n v="80000"/>
    <x v="1"/>
    <n v="0"/>
    <s v="Bachelors"/>
    <s v="Professional"/>
    <s v="Yes"/>
    <n v="3"/>
    <x v="4"/>
    <x v="1"/>
    <n v="32"/>
    <x v="1"/>
    <x v="0"/>
    <b v="0"/>
    <m/>
  </r>
  <r>
    <n v="12332"/>
    <s v="Married"/>
    <x v="0"/>
    <n v="90000"/>
    <x v="1"/>
    <n v="4"/>
    <s v="High School"/>
    <s v="Management"/>
    <s v="Yes"/>
    <n v="3"/>
    <x v="2"/>
    <x v="0"/>
    <n v="58"/>
    <x v="0"/>
    <x v="1"/>
    <n v="1"/>
    <m/>
  </r>
  <r>
    <n v="17230"/>
    <s v="Married"/>
    <x v="0"/>
    <n v="80000"/>
    <x v="1"/>
    <n v="0"/>
    <s v="Bachelors"/>
    <s v="Professional"/>
    <s v="Yes"/>
    <n v="3"/>
    <x v="4"/>
    <x v="1"/>
    <n v="30"/>
    <x v="1"/>
    <x v="0"/>
    <b v="0"/>
    <m/>
  </r>
  <r>
    <n v="22918"/>
    <s v="Single"/>
    <x v="0"/>
    <n v="80000"/>
    <x v="1"/>
    <n v="5"/>
    <s v="Graduate Degree"/>
    <s v="Management"/>
    <s v="Yes"/>
    <n v="3"/>
    <x v="0"/>
    <x v="1"/>
    <n v="50"/>
    <x v="0"/>
    <x v="0"/>
    <b v="0"/>
    <m/>
  </r>
  <r>
    <n v="16179"/>
    <s v="Single"/>
    <x v="1"/>
    <n v="80000"/>
    <x v="1"/>
    <n v="5"/>
    <s v="Bachelors"/>
    <s v="Professional"/>
    <s v="Yes"/>
    <n v="4"/>
    <x v="1"/>
    <x v="1"/>
    <n v="38"/>
    <x v="1"/>
    <x v="0"/>
    <b v="0"/>
    <m/>
  </r>
  <r>
    <n v="13586"/>
    <s v="Married"/>
    <x v="0"/>
    <n v="80000"/>
    <x v="1"/>
    <n v="4"/>
    <s v="Partial College"/>
    <s v="Professional"/>
    <s v="Yes"/>
    <n v="2"/>
    <x v="4"/>
    <x v="0"/>
    <n v="53"/>
    <x v="0"/>
    <x v="0"/>
    <b v="0"/>
    <m/>
  </r>
  <r>
    <n v="13122"/>
    <s v="Married"/>
    <x v="1"/>
    <n v="80000"/>
    <x v="1"/>
    <n v="0"/>
    <s v="Bachelors"/>
    <s v="Professional"/>
    <s v="Yes"/>
    <n v="1"/>
    <x v="1"/>
    <x v="1"/>
    <n v="41"/>
    <x v="0"/>
    <x v="1"/>
    <n v="1"/>
    <m/>
  </r>
  <r>
    <n v="27582"/>
    <s v="Single"/>
    <x v="1"/>
    <n v="90000"/>
    <x v="1"/>
    <n v="2"/>
    <s v="Bachelors"/>
    <s v="Professional"/>
    <s v="No"/>
    <n v="0"/>
    <x v="0"/>
    <x v="1"/>
    <n v="36"/>
    <x v="1"/>
    <x v="1"/>
    <n v="1"/>
    <m/>
  </r>
  <r>
    <n v="13961"/>
    <s v="Married"/>
    <x v="1"/>
    <n v="80000"/>
    <x v="1"/>
    <n v="5"/>
    <s v="Graduate Degree"/>
    <s v="Management"/>
    <s v="Yes"/>
    <n v="3"/>
    <x v="0"/>
    <x v="1"/>
    <n v="40"/>
    <x v="0"/>
    <x v="0"/>
    <b v="0"/>
    <m/>
  </r>
  <r>
    <n v="17048"/>
    <s v="Single"/>
    <x v="1"/>
    <n v="90000"/>
    <x v="1"/>
    <n v="1"/>
    <s v="Graduate Degree"/>
    <s v="Management"/>
    <s v="Yes"/>
    <n v="0"/>
    <x v="0"/>
    <x v="1"/>
    <n v="36"/>
    <x v="1"/>
    <x v="1"/>
    <n v="1"/>
    <m/>
  </r>
  <r>
    <n v="19784"/>
    <s v="Married"/>
    <x v="1"/>
    <n v="80000"/>
    <x v="1"/>
    <n v="2"/>
    <s v="High School"/>
    <s v="Skilled Manual"/>
    <s v="Yes"/>
    <n v="2"/>
    <x v="2"/>
    <x v="1"/>
    <n v="50"/>
    <x v="0"/>
    <x v="1"/>
    <n v="1"/>
    <m/>
  </r>
  <r>
    <n v="24093"/>
    <s v="Single"/>
    <x v="1"/>
    <n v="80000"/>
    <x v="1"/>
    <n v="0"/>
    <s v="Graduate Degree"/>
    <s v="Skilled Manual"/>
    <s v="No"/>
    <n v="0"/>
    <x v="0"/>
    <x v="0"/>
    <n v="40"/>
    <x v="0"/>
    <x v="1"/>
    <n v="1"/>
    <m/>
  </r>
  <r>
    <n v="21561"/>
    <s v="Single"/>
    <x v="0"/>
    <n v="90000"/>
    <x v="1"/>
    <n v="0"/>
    <s v="Bachelors"/>
    <s v="Professional"/>
    <s v="No"/>
    <n v="3"/>
    <x v="4"/>
    <x v="1"/>
    <n v="34"/>
    <x v="1"/>
    <x v="1"/>
    <n v="1"/>
    <m/>
  </r>
  <r>
    <n v="26651"/>
    <s v="Single"/>
    <x v="0"/>
    <n v="80000"/>
    <x v="1"/>
    <n v="4"/>
    <s v="Graduate Degree"/>
    <s v="Management"/>
    <s v="Yes"/>
    <n v="0"/>
    <x v="0"/>
    <x v="1"/>
    <n v="36"/>
    <x v="1"/>
    <x v="1"/>
    <n v="1"/>
    <m/>
  </r>
  <r>
    <n v="13585"/>
    <s v="Married"/>
    <x v="1"/>
    <n v="80000"/>
    <x v="1"/>
    <n v="4"/>
    <s v="Partial College"/>
    <s v="Professional"/>
    <s v="No"/>
    <n v="1"/>
    <x v="3"/>
    <x v="0"/>
    <n v="53"/>
    <x v="0"/>
    <x v="1"/>
    <n v="1"/>
    <m/>
  </r>
  <r>
    <n v="21554"/>
    <s v="Single"/>
    <x v="1"/>
    <n v="80000"/>
    <x v="1"/>
    <n v="0"/>
    <s v="Bachelors"/>
    <s v="Professional"/>
    <s v="No"/>
    <n v="3"/>
    <x v="4"/>
    <x v="1"/>
    <n v="33"/>
    <x v="1"/>
    <x v="0"/>
    <b v="0"/>
    <m/>
  </r>
  <r>
    <n v="18253"/>
    <s v="Married"/>
    <x v="1"/>
    <n v="80000"/>
    <x v="1"/>
    <n v="5"/>
    <s v="Graduate Degree"/>
    <s v="Management"/>
    <s v="Yes"/>
    <n v="3"/>
    <x v="0"/>
    <x v="1"/>
    <n v="40"/>
    <x v="0"/>
    <x v="0"/>
    <b v="0"/>
    <m/>
  </r>
  <r>
    <n v="27585"/>
    <s v="Married"/>
    <x v="1"/>
    <n v="90000"/>
    <x v="1"/>
    <n v="2"/>
    <s v="Bachelors"/>
    <s v="Professional"/>
    <s v="No"/>
    <n v="0"/>
    <x v="0"/>
    <x v="1"/>
    <n v="36"/>
    <x v="1"/>
    <x v="1"/>
    <n v="1"/>
    <m/>
  </r>
  <r>
    <n v="18294"/>
    <s v="Married"/>
    <x v="1"/>
    <n v="90000"/>
    <x v="1"/>
    <n v="1"/>
    <s v="Bachelors"/>
    <s v="Professional"/>
    <s v="Yes"/>
    <n v="1"/>
    <x v="2"/>
    <x v="1"/>
    <n v="46"/>
    <x v="0"/>
    <x v="0"/>
    <b v="0"/>
    <m/>
  </r>
  <r>
    <n v="26415"/>
    <s v="Married"/>
    <x v="1"/>
    <n v="90000"/>
    <x v="1"/>
    <n v="4"/>
    <s v="Partial High School"/>
    <s v="Skilled Manual"/>
    <s v="Yes"/>
    <n v="4"/>
    <x v="4"/>
    <x v="0"/>
    <n v="58"/>
    <x v="0"/>
    <x v="0"/>
    <b v="0"/>
    <m/>
  </r>
  <r>
    <n v="26012"/>
    <s v="Married"/>
    <x v="0"/>
    <n v="80000"/>
    <x v="1"/>
    <n v="1"/>
    <s v="Partial College"/>
    <s v="Skilled Manual"/>
    <s v="Yes"/>
    <n v="1"/>
    <x v="3"/>
    <x v="2"/>
    <n v="48"/>
    <x v="0"/>
    <x v="1"/>
    <n v="1"/>
    <m/>
  </r>
  <r>
    <n v="24357"/>
    <s v="Married"/>
    <x v="0"/>
    <n v="80000"/>
    <x v="1"/>
    <n v="3"/>
    <s v="Bachelors"/>
    <s v="Professional"/>
    <s v="Yes"/>
    <n v="1"/>
    <x v="3"/>
    <x v="2"/>
    <n v="48"/>
    <x v="0"/>
    <x v="1"/>
    <n v="1"/>
    <m/>
  </r>
  <r>
    <n v="12207"/>
    <s v="Single"/>
    <x v="0"/>
    <n v="80000"/>
    <x v="1"/>
    <n v="4"/>
    <s v="Bachelors"/>
    <s v="Management"/>
    <s v="Yes"/>
    <n v="0"/>
    <x v="2"/>
    <x v="2"/>
    <n v="66"/>
    <x v="2"/>
    <x v="1"/>
    <n v="1"/>
    <m/>
  </r>
  <r>
    <n v="23586"/>
    <s v="Married"/>
    <x v="1"/>
    <n v="80000"/>
    <x v="1"/>
    <n v="0"/>
    <s v="Bachelors"/>
    <s v="Management"/>
    <s v="Yes"/>
    <n v="1"/>
    <x v="1"/>
    <x v="2"/>
    <n v="34"/>
    <x v="1"/>
    <x v="1"/>
    <n v="1"/>
    <m/>
  </r>
  <r>
    <n v="15740"/>
    <s v="Married"/>
    <x v="0"/>
    <n v="80000"/>
    <x v="1"/>
    <n v="5"/>
    <s v="Bachelors"/>
    <s v="Management"/>
    <s v="Yes"/>
    <n v="2"/>
    <x v="1"/>
    <x v="2"/>
    <n v="64"/>
    <x v="2"/>
    <x v="0"/>
    <b v="0"/>
    <m/>
  </r>
  <r>
    <n v="13283"/>
    <s v="Married"/>
    <x v="0"/>
    <n v="80000"/>
    <x v="1"/>
    <n v="3"/>
    <s v="Partial College"/>
    <s v="Professional"/>
    <s v="No"/>
    <n v="2"/>
    <x v="0"/>
    <x v="2"/>
    <n v="49"/>
    <x v="0"/>
    <x v="1"/>
    <n v="1"/>
    <m/>
  </r>
  <r>
    <n v="17471"/>
    <s v="Single"/>
    <x v="1"/>
    <n v="80000"/>
    <x v="1"/>
    <n v="4"/>
    <s v="Graduate Degree"/>
    <s v="Management"/>
    <s v="Yes"/>
    <n v="2"/>
    <x v="2"/>
    <x v="2"/>
    <n v="67"/>
    <x v="2"/>
    <x v="0"/>
    <b v="0"/>
    <m/>
  </r>
  <r>
    <n v="13907"/>
    <s v="Single"/>
    <x v="1"/>
    <n v="80000"/>
    <x v="1"/>
    <n v="3"/>
    <s v="Bachelors"/>
    <s v="Skilled Manual"/>
    <s v="Yes"/>
    <n v="1"/>
    <x v="0"/>
    <x v="2"/>
    <n v="41"/>
    <x v="0"/>
    <x v="1"/>
    <n v="1"/>
    <m/>
  </r>
  <r>
    <n v="11262"/>
    <s v="Married"/>
    <x v="1"/>
    <n v="80000"/>
    <x v="1"/>
    <n v="4"/>
    <s v="Bachelors"/>
    <s v="Management"/>
    <s v="Yes"/>
    <n v="0"/>
    <x v="0"/>
    <x v="2"/>
    <n v="42"/>
    <x v="0"/>
    <x v="0"/>
    <b v="0"/>
    <m/>
  </r>
  <r>
    <n v="18674"/>
    <s v="Single"/>
    <x v="1"/>
    <n v="80000"/>
    <x v="1"/>
    <n v="4"/>
    <s v="Graduate Degree"/>
    <s v="Skilled Manual"/>
    <s v="No"/>
    <n v="0"/>
    <x v="0"/>
    <x v="2"/>
    <n v="48"/>
    <x v="0"/>
    <x v="0"/>
    <b v="0"/>
    <m/>
  </r>
  <r>
    <n v="25293"/>
    <s v="Married"/>
    <x v="0"/>
    <n v="80000"/>
    <x v="1"/>
    <n v="4"/>
    <s v="Bachelors"/>
    <s v="Management"/>
    <s v="Yes"/>
    <n v="0"/>
    <x v="1"/>
    <x v="2"/>
    <n v="42"/>
    <x v="0"/>
    <x v="0"/>
    <b v="0"/>
    <m/>
  </r>
  <r>
    <n v="21266"/>
    <s v="Single"/>
    <x v="1"/>
    <n v="80000"/>
    <x v="1"/>
    <n v="0"/>
    <s v="Bachelors"/>
    <s v="Management"/>
    <s v="Yes"/>
    <n v="1"/>
    <x v="1"/>
    <x v="2"/>
    <n v="34"/>
    <x v="1"/>
    <x v="1"/>
    <n v="1"/>
    <m/>
  </r>
  <r>
    <n v="13749"/>
    <s v="Married"/>
    <x v="0"/>
    <n v="80000"/>
    <x v="1"/>
    <n v="4"/>
    <s v="Graduate Degree"/>
    <s v="Skilled Manual"/>
    <s v="Yes"/>
    <n v="0"/>
    <x v="1"/>
    <x v="2"/>
    <n v="47"/>
    <x v="0"/>
    <x v="0"/>
    <b v="0"/>
    <m/>
  </r>
  <r>
    <n v="16871"/>
    <s v="Married"/>
    <x v="1"/>
    <n v="90000"/>
    <x v="1"/>
    <n v="2"/>
    <s v="High School"/>
    <s v="Professional"/>
    <s v="Yes"/>
    <n v="1"/>
    <x v="4"/>
    <x v="2"/>
    <n v="51"/>
    <x v="0"/>
    <x v="1"/>
    <n v="1"/>
    <m/>
  </r>
  <r>
    <n v="18391"/>
    <s v="Single"/>
    <x v="1"/>
    <n v="80000"/>
    <x v="1"/>
    <n v="5"/>
    <s v="Partial College"/>
    <s v="Professional"/>
    <s v="Yes"/>
    <n v="2"/>
    <x v="2"/>
    <x v="2"/>
    <n v="44"/>
    <x v="0"/>
    <x v="0"/>
    <b v="0"/>
    <m/>
  </r>
  <r>
    <n v="27660"/>
    <s v="Married"/>
    <x v="0"/>
    <n v="80000"/>
    <x v="1"/>
    <n v="4"/>
    <s v="Graduate Degree"/>
    <s v="Management"/>
    <s v="Yes"/>
    <n v="2"/>
    <x v="2"/>
    <x v="2"/>
    <n v="70"/>
    <x v="2"/>
    <x v="0"/>
    <b v="0"/>
    <m/>
  </r>
  <r>
    <n v="20343"/>
    <s v="Married"/>
    <x v="1"/>
    <n v="90000"/>
    <x v="1"/>
    <n v="4"/>
    <s v="Partial College"/>
    <s v="Professional"/>
    <s v="Yes"/>
    <n v="1"/>
    <x v="1"/>
    <x v="2"/>
    <n v="45"/>
    <x v="0"/>
    <x v="0"/>
    <b v="0"/>
    <m/>
  </r>
  <r>
    <n v="29231"/>
    <s v="Single"/>
    <x v="0"/>
    <n v="80000"/>
    <x v="1"/>
    <n v="4"/>
    <s v="Partial College"/>
    <s v="Professional"/>
    <s v="No"/>
    <n v="2"/>
    <x v="0"/>
    <x v="2"/>
    <n v="43"/>
    <x v="0"/>
    <x v="0"/>
    <b v="0"/>
    <m/>
  </r>
  <r>
    <n v="22994"/>
    <s v="Married"/>
    <x v="1"/>
    <n v="80000"/>
    <x v="1"/>
    <n v="0"/>
    <s v="Bachelors"/>
    <s v="Management"/>
    <s v="Yes"/>
    <n v="1"/>
    <x v="1"/>
    <x v="2"/>
    <n v="34"/>
    <x v="1"/>
    <x v="1"/>
    <n v="1"/>
    <m/>
  </r>
  <r>
    <n v="16245"/>
    <s v="Single"/>
    <x v="1"/>
    <n v="80000"/>
    <x v="1"/>
    <n v="4"/>
    <s v="Graduate Degree"/>
    <s v="Skilled Manual"/>
    <s v="Yes"/>
    <n v="0"/>
    <x v="1"/>
    <x v="2"/>
    <n v="47"/>
    <x v="0"/>
    <x v="0"/>
    <b v="0"/>
    <m/>
  </r>
  <r>
    <n v="29255"/>
    <s v="Single"/>
    <x v="0"/>
    <n v="80000"/>
    <x v="1"/>
    <n v="3"/>
    <s v="Partial College"/>
    <s v="Professional"/>
    <s v="No"/>
    <n v="1"/>
    <x v="1"/>
    <x v="2"/>
    <n v="51"/>
    <x v="0"/>
    <x v="1"/>
    <n v="1"/>
    <m/>
  </r>
  <r>
    <n v="13754"/>
    <s v="Single"/>
    <x v="1"/>
    <n v="80000"/>
    <x v="1"/>
    <n v="4"/>
    <s v="Graduate Degree"/>
    <s v="Skilled Manual"/>
    <s v="Yes"/>
    <n v="0"/>
    <x v="1"/>
    <x v="2"/>
    <n v="48"/>
    <x v="0"/>
    <x v="0"/>
    <b v="0"/>
    <m/>
  </r>
  <r>
    <n v="28580"/>
    <s v="Married"/>
    <x v="1"/>
    <n v="80000"/>
    <x v="1"/>
    <n v="0"/>
    <s v="Graduate Degree"/>
    <s v="Skilled Manual"/>
    <s v="Yes"/>
    <n v="0"/>
    <x v="1"/>
    <x v="2"/>
    <n v="40"/>
    <x v="0"/>
    <x v="1"/>
    <n v="1"/>
    <m/>
  </r>
  <r>
    <n v="18145"/>
    <s v="Married"/>
    <x v="0"/>
    <n v="80000"/>
    <x v="1"/>
    <n v="5"/>
    <s v="Bachelors"/>
    <s v="Management"/>
    <s v="No"/>
    <n v="2"/>
    <x v="3"/>
    <x v="0"/>
    <n v="62"/>
    <x v="2"/>
    <x v="0"/>
    <b v="0"/>
    <m/>
  </r>
  <r>
    <n v="16377"/>
    <s v="Single"/>
    <x v="1"/>
    <n v="80000"/>
    <x v="1"/>
    <n v="4"/>
    <s v="Graduate Degree"/>
    <s v="Skilled Manual"/>
    <s v="No"/>
    <n v="0"/>
    <x v="0"/>
    <x v="2"/>
    <n v="47"/>
    <x v="0"/>
    <x v="0"/>
    <b v="0"/>
    <m/>
  </r>
  <r>
    <n v="23461"/>
    <s v="Married"/>
    <x v="1"/>
    <n v="90000"/>
    <x v="1"/>
    <n v="5"/>
    <s v="Partial College"/>
    <s v="Professional"/>
    <s v="Yes"/>
    <n v="3"/>
    <x v="3"/>
    <x v="2"/>
    <n v="40"/>
    <x v="0"/>
    <x v="0"/>
    <b v="0"/>
    <m/>
  </r>
  <r>
    <n v="28068"/>
    <s v="Single"/>
    <x v="1"/>
    <n v="80000"/>
    <x v="1"/>
    <n v="3"/>
    <s v="Graduate Degree"/>
    <s v="Professional"/>
    <s v="No"/>
    <n v="0"/>
    <x v="0"/>
    <x v="2"/>
    <n v="36"/>
    <x v="1"/>
    <x v="1"/>
    <n v="1"/>
    <m/>
  </r>
  <r>
    <n v="18390"/>
    <s v="Married"/>
    <x v="0"/>
    <n v="80000"/>
    <x v="1"/>
    <n v="5"/>
    <s v="Partial College"/>
    <s v="Professional"/>
    <s v="Yes"/>
    <n v="2"/>
    <x v="0"/>
    <x v="2"/>
    <n v="44"/>
    <x v="0"/>
    <x v="0"/>
    <b v="0"/>
    <m/>
  </r>
  <r>
    <n v="23479"/>
    <s v="Single"/>
    <x v="0"/>
    <n v="90000"/>
    <x v="1"/>
    <n v="0"/>
    <s v="Partial College"/>
    <s v="Professional"/>
    <s v="No"/>
    <n v="2"/>
    <x v="0"/>
    <x v="2"/>
    <n v="43"/>
    <x v="0"/>
    <x v="1"/>
    <n v="1"/>
    <m/>
  </r>
  <r>
    <n v="27198"/>
    <s v="Single"/>
    <x v="1"/>
    <n v="80000"/>
    <x v="1"/>
    <n v="0"/>
    <s v="Graduate Degree"/>
    <s v="Skilled Manual"/>
    <s v="No"/>
    <n v="0"/>
    <x v="0"/>
    <x v="2"/>
    <n v="40"/>
    <x v="0"/>
    <x v="0"/>
    <b v="0"/>
    <m/>
  </r>
  <r>
    <n v="19661"/>
    <s v="Single"/>
    <x v="0"/>
    <n v="90000"/>
    <x v="1"/>
    <n v="4"/>
    <s v="Bachelors"/>
    <s v="Management"/>
    <s v="Yes"/>
    <n v="1"/>
    <x v="1"/>
    <x v="2"/>
    <n v="38"/>
    <x v="1"/>
    <x v="1"/>
    <n v="1"/>
    <m/>
  </r>
  <r>
    <n v="26678"/>
    <s v="Single"/>
    <x v="1"/>
    <n v="80000"/>
    <x v="1"/>
    <n v="2"/>
    <s v="Partial High School"/>
    <s v="Skilled Manual"/>
    <s v="Yes"/>
    <n v="2"/>
    <x v="2"/>
    <x v="2"/>
    <n v="49"/>
    <x v="0"/>
    <x v="0"/>
    <b v="0"/>
    <m/>
  </r>
  <r>
    <n v="21714"/>
    <s v="Single"/>
    <x v="1"/>
    <n v="80000"/>
    <x v="1"/>
    <n v="5"/>
    <s v="Graduate Degree"/>
    <s v="Skilled Manual"/>
    <s v="No"/>
    <n v="0"/>
    <x v="0"/>
    <x v="2"/>
    <n v="47"/>
    <x v="0"/>
    <x v="0"/>
    <b v="0"/>
    <m/>
  </r>
  <r>
    <n v="14657"/>
    <s v="Married"/>
    <x v="0"/>
    <n v="80000"/>
    <x v="1"/>
    <n v="1"/>
    <s v="Partial College"/>
    <s v="Skilled Manual"/>
    <s v="No"/>
    <n v="1"/>
    <x v="0"/>
    <x v="2"/>
    <n v="47"/>
    <x v="0"/>
    <x v="1"/>
    <n v="1"/>
    <m/>
  </r>
  <r>
    <n v="14602"/>
    <s v="Married"/>
    <x v="1"/>
    <n v="80000"/>
    <x v="1"/>
    <n v="3"/>
    <s v="Graduate Degree"/>
    <s v="Professional"/>
    <s v="Yes"/>
    <n v="0"/>
    <x v="0"/>
    <x v="2"/>
    <n v="36"/>
    <x v="1"/>
    <x v="1"/>
    <n v="1"/>
    <m/>
  </r>
  <r>
    <n v="17260"/>
    <s v="Married"/>
    <x v="0"/>
    <n v="90000"/>
    <x v="1"/>
    <n v="5"/>
    <s v="Partial College"/>
    <s v="Professional"/>
    <s v="Yes"/>
    <n v="3"/>
    <x v="0"/>
    <x v="2"/>
    <n v="41"/>
    <x v="0"/>
    <x v="0"/>
    <b v="0"/>
    <m/>
  </r>
  <r>
    <n v="15372"/>
    <s v="Married"/>
    <x v="0"/>
    <n v="80000"/>
    <x v="1"/>
    <n v="3"/>
    <s v="Partial College"/>
    <s v="Professional"/>
    <s v="No"/>
    <n v="2"/>
    <x v="3"/>
    <x v="2"/>
    <n v="50"/>
    <x v="0"/>
    <x v="1"/>
    <n v="1"/>
    <m/>
  </r>
  <r>
    <n v="19660"/>
    <s v="Married"/>
    <x v="0"/>
    <n v="80000"/>
    <x v="1"/>
    <n v="4"/>
    <s v="Bachelors"/>
    <s v="Management"/>
    <s v="Yes"/>
    <n v="0"/>
    <x v="0"/>
    <x v="2"/>
    <n v="43"/>
    <x v="0"/>
    <x v="0"/>
    <b v="0"/>
    <m/>
  </r>
  <r>
    <n v="28228"/>
    <s v="Single"/>
    <x v="1"/>
    <n v="80000"/>
    <x v="1"/>
    <n v="2"/>
    <s v="Partial High School"/>
    <s v="Skilled Manual"/>
    <s v="No"/>
    <n v="2"/>
    <x v="1"/>
    <x v="2"/>
    <n v="50"/>
    <x v="0"/>
    <x v="0"/>
    <b v="0"/>
    <m/>
  </r>
  <r>
    <n v="13911"/>
    <s v="Single"/>
    <x v="1"/>
    <n v="80000"/>
    <x v="1"/>
    <n v="3"/>
    <s v="Bachelors"/>
    <s v="Skilled Manual"/>
    <s v="Yes"/>
    <n v="2"/>
    <x v="3"/>
    <x v="2"/>
    <n v="41"/>
    <x v="0"/>
    <x v="1"/>
    <n v="1"/>
    <m/>
  </r>
  <r>
    <n v="19143"/>
    <s v="Single"/>
    <x v="1"/>
    <n v="80000"/>
    <x v="1"/>
    <n v="3"/>
    <s v="Bachelors"/>
    <s v="Skilled Manual"/>
    <s v="Yes"/>
    <n v="2"/>
    <x v="3"/>
    <x v="2"/>
    <n v="41"/>
    <x v="0"/>
    <x v="1"/>
    <n v="1"/>
    <m/>
  </r>
  <r>
    <n v="23882"/>
    <s v="Single"/>
    <x v="1"/>
    <n v="80000"/>
    <x v="1"/>
    <n v="3"/>
    <s v="Graduate Degree"/>
    <s v="Professional"/>
    <s v="Yes"/>
    <n v="0"/>
    <x v="0"/>
    <x v="2"/>
    <n v="37"/>
    <x v="1"/>
    <x v="1"/>
    <n v="1"/>
    <m/>
  </r>
  <r>
    <n v="18423"/>
    <s v="Single"/>
    <x v="0"/>
    <n v="80000"/>
    <x v="1"/>
    <n v="2"/>
    <s v="Partial High School"/>
    <s v="Skilled Manual"/>
    <s v="No"/>
    <n v="2"/>
    <x v="1"/>
    <x v="2"/>
    <n v="52"/>
    <x v="0"/>
    <x v="0"/>
    <b v="0"/>
    <m/>
  </r>
  <r>
    <n v="18783"/>
    <s v="Single"/>
    <x v="0"/>
    <n v="80000"/>
    <x v="1"/>
    <n v="0"/>
    <s v="Bachelors"/>
    <s v="Management"/>
    <s v="No"/>
    <n v="1"/>
    <x v="0"/>
    <x v="2"/>
    <n v="38"/>
    <x v="1"/>
    <x v="1"/>
    <n v="1"/>
    <m/>
  </r>
  <r>
    <n v="22046"/>
    <s v="Single"/>
    <x v="1"/>
    <n v="80000"/>
    <x v="1"/>
    <n v="0"/>
    <s v="Bachelors"/>
    <s v="Management"/>
    <s v="No"/>
    <n v="1"/>
    <x v="0"/>
    <x v="2"/>
    <n v="38"/>
    <x v="1"/>
    <x v="1"/>
    <n v="1"/>
    <m/>
  </r>
  <r>
    <n v="24416"/>
    <s v="Married"/>
    <x v="0"/>
    <n v="90000"/>
    <x v="1"/>
    <n v="4"/>
    <s v="High School"/>
    <s v="Professional"/>
    <s v="Yes"/>
    <n v="2"/>
    <x v="1"/>
    <x v="2"/>
    <n v="45"/>
    <x v="0"/>
    <x v="0"/>
    <b v="0"/>
    <m/>
  </r>
  <r>
    <n v="28066"/>
    <s v="Married"/>
    <x v="0"/>
    <n v="80000"/>
    <x v="1"/>
    <n v="2"/>
    <s v="Graduate Degree"/>
    <s v="Professional"/>
    <s v="Yes"/>
    <n v="0"/>
    <x v="0"/>
    <x v="2"/>
    <n v="37"/>
    <x v="1"/>
    <x v="1"/>
    <n v="1"/>
    <m/>
  </r>
  <r>
    <n v="11275"/>
    <s v="Married"/>
    <x v="1"/>
    <n v="80000"/>
    <x v="1"/>
    <n v="4"/>
    <s v="Graduate Degree"/>
    <s v="Management"/>
    <s v="Yes"/>
    <n v="2"/>
    <x v="0"/>
    <x v="2"/>
    <n v="72"/>
    <x v="2"/>
    <x v="1"/>
    <n v="1"/>
    <m/>
  </r>
  <r>
    <n v="19731"/>
    <s v="Married"/>
    <x v="0"/>
    <n v="80000"/>
    <x v="1"/>
    <n v="4"/>
    <s v="Graduate Degree"/>
    <s v="Management"/>
    <s v="Yes"/>
    <n v="2"/>
    <x v="2"/>
    <x v="2"/>
    <n v="68"/>
    <x v="2"/>
    <x v="0"/>
    <b v="0"/>
    <m/>
  </r>
  <r>
    <n v="28858"/>
    <s v="Single"/>
    <x v="0"/>
    <n v="80000"/>
    <x v="1"/>
    <n v="3"/>
    <s v="Bachelors"/>
    <s v="Skilled Manual"/>
    <s v="Yes"/>
    <n v="0"/>
    <x v="3"/>
    <x v="2"/>
    <n v="40"/>
    <x v="0"/>
    <x v="0"/>
    <b v="0"/>
    <m/>
  </r>
  <r>
    <n v="14432"/>
    <s v="Single"/>
    <x v="0"/>
    <n v="90000"/>
    <x v="1"/>
    <n v="4"/>
    <s v="Graduate Degree"/>
    <s v="Management"/>
    <s v="Yes"/>
    <n v="1"/>
    <x v="2"/>
    <x v="2"/>
    <n v="73"/>
    <x v="2"/>
    <x v="0"/>
    <b v="0"/>
    <m/>
  </r>
  <r>
    <n v="22050"/>
    <s v="Single"/>
    <x v="0"/>
    <n v="90000"/>
    <x v="1"/>
    <n v="4"/>
    <s v="Bachelors"/>
    <s v="Management"/>
    <s v="Yes"/>
    <n v="1"/>
    <x v="1"/>
    <x v="2"/>
    <n v="38"/>
    <x v="1"/>
    <x v="1"/>
    <n v="1"/>
    <m/>
  </r>
  <r>
    <n v="13337"/>
    <s v="Married"/>
    <x v="1"/>
    <n v="80000"/>
    <x v="1"/>
    <n v="5"/>
    <s v="Bachelors"/>
    <s v="Management"/>
    <s v="Yes"/>
    <n v="2"/>
    <x v="2"/>
    <x v="2"/>
    <n v="64"/>
    <x v="2"/>
    <x v="0"/>
    <b v="0"/>
    <m/>
  </r>
  <r>
    <n v="21713"/>
    <s v="Single"/>
    <x v="0"/>
    <n v="80000"/>
    <x v="1"/>
    <n v="5"/>
    <s v="Graduate Degree"/>
    <s v="Skilled Manual"/>
    <s v="No"/>
    <n v="0"/>
    <x v="0"/>
    <x v="2"/>
    <n v="47"/>
    <x v="0"/>
    <x v="0"/>
    <b v="0"/>
    <m/>
  </r>
  <r>
    <n v="11090"/>
    <s v="Single"/>
    <x v="0"/>
    <n v="90000"/>
    <x v="1"/>
    <n v="2"/>
    <s v="Partial College"/>
    <s v="Professional"/>
    <s v="Yes"/>
    <n v="1"/>
    <x v="3"/>
    <x v="2"/>
    <n v="48"/>
    <x v="0"/>
    <x v="1"/>
    <n v="1"/>
    <m/>
  </r>
  <r>
    <n v="23455"/>
    <s v="Single"/>
    <x v="0"/>
    <n v="80000"/>
    <x v="1"/>
    <n v="2"/>
    <s v="Partial High School"/>
    <s v="Skilled Manual"/>
    <s v="No"/>
    <n v="2"/>
    <x v="1"/>
    <x v="2"/>
    <n v="50"/>
    <x v="0"/>
    <x v="0"/>
    <b v="0"/>
    <m/>
  </r>
  <r>
    <n v="13343"/>
    <s v="Married"/>
    <x v="1"/>
    <n v="90000"/>
    <x v="1"/>
    <n v="5"/>
    <s v="Bachelors"/>
    <s v="Management"/>
    <s v="Yes"/>
    <n v="2"/>
    <x v="1"/>
    <x v="2"/>
    <n v="63"/>
    <x v="2"/>
    <x v="1"/>
    <n v="1"/>
    <m/>
  </r>
  <r>
    <n v="11303"/>
    <s v="Single"/>
    <x v="1"/>
    <n v="90000"/>
    <x v="1"/>
    <n v="4"/>
    <s v="High School"/>
    <s v="Professional"/>
    <s v="No"/>
    <n v="3"/>
    <x v="1"/>
    <x v="2"/>
    <n v="45"/>
    <x v="0"/>
    <x v="1"/>
    <n v="1"/>
    <m/>
  </r>
  <r>
    <n v="21940"/>
    <s v="Married"/>
    <x v="0"/>
    <n v="90000"/>
    <x v="1"/>
    <n v="5"/>
    <s v="Graduate Degree"/>
    <s v="Professional"/>
    <s v="Yes"/>
    <n v="0"/>
    <x v="0"/>
    <x v="2"/>
    <n v="47"/>
    <x v="0"/>
    <x v="1"/>
    <n v="1"/>
    <m/>
  </r>
  <r>
    <n v="16007"/>
    <s v="Married"/>
    <x v="1"/>
    <n v="90000"/>
    <x v="1"/>
    <n v="5"/>
    <s v="Bachelors"/>
    <s v="Management"/>
    <s v="Yes"/>
    <n v="2"/>
    <x v="1"/>
    <x v="2"/>
    <n v="66"/>
    <x v="2"/>
    <x v="1"/>
    <n v="1"/>
    <m/>
  </r>
  <r>
    <n v="19012"/>
    <s v="Married"/>
    <x v="0"/>
    <n v="80000"/>
    <x v="1"/>
    <n v="3"/>
    <s v="Bachelors"/>
    <s v="Management"/>
    <s v="Yes"/>
    <n v="1"/>
    <x v="1"/>
    <x v="2"/>
    <n v="56"/>
    <x v="0"/>
    <x v="0"/>
    <b v="0"/>
    <m/>
  </r>
  <r>
    <n v="19741"/>
    <s v="Single"/>
    <x v="1"/>
    <n v="80000"/>
    <x v="1"/>
    <n v="4"/>
    <s v="Graduate Degree"/>
    <s v="Management"/>
    <s v="Yes"/>
    <n v="2"/>
    <x v="2"/>
    <x v="2"/>
    <n v="65"/>
    <x v="2"/>
    <x v="0"/>
    <b v="0"/>
    <m/>
  </r>
  <r>
    <n v="17450"/>
    <s v="Married"/>
    <x v="0"/>
    <n v="80000"/>
    <x v="1"/>
    <n v="5"/>
    <s v="Partial College"/>
    <s v="Professional"/>
    <s v="Yes"/>
    <n v="3"/>
    <x v="2"/>
    <x v="2"/>
    <n v="45"/>
    <x v="0"/>
    <x v="0"/>
    <b v="0"/>
    <m/>
  </r>
  <r>
    <n v="18594"/>
    <s v="Single"/>
    <x v="1"/>
    <n v="80000"/>
    <x v="1"/>
    <n v="3"/>
    <s v="Bachelors"/>
    <s v="Skilled Manual"/>
    <s v="Yes"/>
    <n v="3"/>
    <x v="4"/>
    <x v="2"/>
    <n v="40"/>
    <x v="0"/>
    <x v="1"/>
    <n v="1"/>
    <m/>
  </r>
  <r>
    <n v="22864"/>
    <s v="Married"/>
    <x v="0"/>
    <n v="90000"/>
    <x v="1"/>
    <n v="2"/>
    <s v="Partial College"/>
    <s v="Professional"/>
    <s v="No"/>
    <n v="0"/>
    <x v="2"/>
    <x v="2"/>
    <n v="49"/>
    <x v="0"/>
    <x v="1"/>
    <n v="1"/>
    <m/>
  </r>
  <r>
    <n v="13466"/>
    <s v="Married"/>
    <x v="0"/>
    <n v="80000"/>
    <x v="1"/>
    <n v="5"/>
    <s v="Partial College"/>
    <s v="Professional"/>
    <s v="Yes"/>
    <n v="3"/>
    <x v="1"/>
    <x v="2"/>
    <n v="46"/>
    <x v="0"/>
    <x v="0"/>
    <b v="0"/>
    <m/>
  </r>
  <r>
    <n v="24381"/>
    <s v="Single"/>
    <x v="0"/>
    <n v="70000"/>
    <x v="2"/>
    <n v="0"/>
    <s v="Bachelors"/>
    <s v="Professional"/>
    <s v="Yes"/>
    <n v="1"/>
    <x v="2"/>
    <x v="1"/>
    <n v="41"/>
    <x v="0"/>
    <x v="1"/>
    <n v="1"/>
    <m/>
  </r>
  <r>
    <n v="23542"/>
    <s v="Single"/>
    <x v="0"/>
    <n v="60000"/>
    <x v="2"/>
    <n v="1"/>
    <s v="Partial College"/>
    <s v="Skilled Manual"/>
    <s v="No"/>
    <n v="1"/>
    <x v="0"/>
    <x v="1"/>
    <n v="45"/>
    <x v="0"/>
    <x v="1"/>
    <n v="1"/>
    <m/>
  </r>
  <r>
    <n v="18299"/>
    <s v="Married"/>
    <x v="0"/>
    <n v="70000"/>
    <x v="2"/>
    <n v="5"/>
    <s v="Partial College"/>
    <s v="Skilled Manual"/>
    <s v="Yes"/>
    <n v="2"/>
    <x v="2"/>
    <x v="1"/>
    <n v="44"/>
    <x v="0"/>
    <x v="0"/>
    <b v="0"/>
    <m/>
  </r>
  <r>
    <n v="24466"/>
    <s v="Married"/>
    <x v="1"/>
    <n v="60000"/>
    <x v="2"/>
    <n v="1"/>
    <s v="Partial College"/>
    <s v="Skilled Manual"/>
    <s v="Yes"/>
    <n v="1"/>
    <x v="2"/>
    <x v="1"/>
    <n v="46"/>
    <x v="0"/>
    <x v="1"/>
    <n v="1"/>
    <m/>
  </r>
  <r>
    <n v="17319"/>
    <s v="Single"/>
    <x v="1"/>
    <n v="70000"/>
    <x v="2"/>
    <n v="0"/>
    <s v="Bachelors"/>
    <s v="Professional"/>
    <s v="No"/>
    <n v="1"/>
    <x v="2"/>
    <x v="1"/>
    <n v="42"/>
    <x v="0"/>
    <x v="0"/>
    <b v="0"/>
    <m/>
  </r>
  <r>
    <n v="15580"/>
    <s v="Married"/>
    <x v="0"/>
    <n v="60000"/>
    <x v="2"/>
    <n v="2"/>
    <s v="Bachelors"/>
    <s v="Professional"/>
    <s v="Yes"/>
    <n v="1"/>
    <x v="3"/>
    <x v="1"/>
    <n v="38"/>
    <x v="1"/>
    <x v="1"/>
    <n v="1"/>
    <m/>
  </r>
  <r>
    <n v="16185"/>
    <s v="Single"/>
    <x v="0"/>
    <n v="60000"/>
    <x v="2"/>
    <n v="4"/>
    <s v="Bachelors"/>
    <s v="Professional"/>
    <s v="Yes"/>
    <n v="3"/>
    <x v="4"/>
    <x v="1"/>
    <n v="41"/>
    <x v="0"/>
    <x v="0"/>
    <b v="0"/>
    <m/>
  </r>
  <r>
    <n v="19562"/>
    <s v="Single"/>
    <x v="1"/>
    <n v="60000"/>
    <x v="2"/>
    <n v="2"/>
    <s v="Bachelors"/>
    <s v="Professional"/>
    <s v="Yes"/>
    <n v="1"/>
    <x v="3"/>
    <x v="1"/>
    <n v="37"/>
    <x v="1"/>
    <x v="1"/>
    <n v="1"/>
    <m/>
  </r>
  <r>
    <n v="20236"/>
    <s v="Single"/>
    <x v="0"/>
    <n v="60000"/>
    <x v="2"/>
    <n v="3"/>
    <s v="Bachelors"/>
    <s v="Professional"/>
    <s v="No"/>
    <n v="2"/>
    <x v="0"/>
    <x v="1"/>
    <n v="43"/>
    <x v="0"/>
    <x v="1"/>
    <n v="1"/>
    <m/>
  </r>
  <r>
    <n v="26139"/>
    <s v="Single"/>
    <x v="0"/>
    <n v="60000"/>
    <x v="2"/>
    <n v="1"/>
    <s v="Partial College"/>
    <s v="Skilled Manual"/>
    <s v="Yes"/>
    <n v="1"/>
    <x v="2"/>
    <x v="1"/>
    <n v="45"/>
    <x v="0"/>
    <x v="0"/>
    <b v="0"/>
    <m/>
  </r>
  <r>
    <n v="18491"/>
    <s v="Single"/>
    <x v="1"/>
    <n v="70000"/>
    <x v="2"/>
    <n v="2"/>
    <s v="High School"/>
    <s v="Professional"/>
    <s v="Yes"/>
    <n v="2"/>
    <x v="2"/>
    <x v="1"/>
    <n v="49"/>
    <x v="0"/>
    <x v="1"/>
    <n v="1"/>
    <m/>
  </r>
  <r>
    <n v="20430"/>
    <s v="Married"/>
    <x v="0"/>
    <n v="70000"/>
    <x v="2"/>
    <n v="2"/>
    <s v="Partial College"/>
    <s v="Skilled Manual"/>
    <s v="Yes"/>
    <n v="2"/>
    <x v="2"/>
    <x v="1"/>
    <n v="52"/>
    <x v="0"/>
    <x v="1"/>
    <n v="1"/>
    <m/>
  </r>
  <r>
    <n v="14682"/>
    <s v="Single"/>
    <x v="1"/>
    <n v="70000"/>
    <x v="2"/>
    <n v="0"/>
    <s v="Bachelors"/>
    <s v="Professional"/>
    <s v="No"/>
    <n v="1"/>
    <x v="2"/>
    <x v="1"/>
    <n v="38"/>
    <x v="1"/>
    <x v="0"/>
    <b v="0"/>
    <m/>
  </r>
  <r>
    <n v="12993"/>
    <s v="Married"/>
    <x v="0"/>
    <n v="60000"/>
    <x v="2"/>
    <n v="2"/>
    <s v="Bachelors"/>
    <s v="Professional"/>
    <s v="Yes"/>
    <n v="1"/>
    <x v="3"/>
    <x v="1"/>
    <n v="37"/>
    <x v="1"/>
    <x v="0"/>
    <b v="0"/>
    <m/>
  </r>
  <r>
    <n v="26154"/>
    <s v="Married"/>
    <x v="0"/>
    <n v="60000"/>
    <x v="2"/>
    <n v="1"/>
    <s v="Partial College"/>
    <s v="Skilled Manual"/>
    <s v="Yes"/>
    <n v="1"/>
    <x v="2"/>
    <x v="1"/>
    <n v="43"/>
    <x v="0"/>
    <x v="1"/>
    <n v="1"/>
    <m/>
  </r>
  <r>
    <n v="21980"/>
    <s v="Single"/>
    <x v="1"/>
    <n v="60000"/>
    <x v="2"/>
    <n v="1"/>
    <s v="Bachelors"/>
    <s v="Professional"/>
    <s v="Yes"/>
    <n v="1"/>
    <x v="2"/>
    <x v="1"/>
    <n v="44"/>
    <x v="0"/>
    <x v="1"/>
    <n v="1"/>
    <m/>
  </r>
  <r>
    <n v="29181"/>
    <s v="Single"/>
    <x v="1"/>
    <n v="60000"/>
    <x v="2"/>
    <n v="2"/>
    <s v="Bachelors"/>
    <s v="Professional"/>
    <s v="No"/>
    <n v="1"/>
    <x v="0"/>
    <x v="1"/>
    <n v="38"/>
    <x v="1"/>
    <x v="1"/>
    <n v="1"/>
    <m/>
  </r>
  <r>
    <n v="14058"/>
    <s v="Single"/>
    <x v="0"/>
    <n v="70000"/>
    <x v="2"/>
    <n v="0"/>
    <s v="Bachelors"/>
    <s v="Professional"/>
    <s v="No"/>
    <n v="1"/>
    <x v="2"/>
    <x v="1"/>
    <n v="41"/>
    <x v="0"/>
    <x v="1"/>
    <n v="1"/>
    <m/>
  </r>
  <r>
    <n v="20606"/>
    <s v="Married"/>
    <x v="1"/>
    <n v="70000"/>
    <x v="2"/>
    <n v="0"/>
    <s v="Bachelors"/>
    <s v="Professional"/>
    <s v="Yes"/>
    <n v="4"/>
    <x v="4"/>
    <x v="1"/>
    <n v="32"/>
    <x v="1"/>
    <x v="1"/>
    <n v="1"/>
    <m/>
  </r>
  <r>
    <n v="26032"/>
    <s v="Married"/>
    <x v="1"/>
    <n v="70000"/>
    <x v="2"/>
    <n v="5"/>
    <s v="Bachelors"/>
    <s v="Professional"/>
    <s v="Yes"/>
    <n v="4"/>
    <x v="4"/>
    <x v="1"/>
    <n v="41"/>
    <x v="0"/>
    <x v="0"/>
    <b v="0"/>
    <m/>
  </r>
  <r>
    <n v="11147"/>
    <s v="Married"/>
    <x v="0"/>
    <n v="60000"/>
    <x v="2"/>
    <n v="2"/>
    <s v="Graduate Degree"/>
    <s v="Management"/>
    <s v="Yes"/>
    <n v="1"/>
    <x v="0"/>
    <x v="1"/>
    <n v="67"/>
    <x v="2"/>
    <x v="1"/>
    <n v="1"/>
    <m/>
  </r>
  <r>
    <n v="24584"/>
    <s v="Single"/>
    <x v="0"/>
    <n v="60000"/>
    <x v="2"/>
    <n v="0"/>
    <s v="Bachelors"/>
    <s v="Professional"/>
    <s v="No"/>
    <n v="3"/>
    <x v="3"/>
    <x v="1"/>
    <n v="31"/>
    <x v="1"/>
    <x v="0"/>
    <b v="0"/>
    <m/>
  </r>
  <r>
    <n v="29298"/>
    <s v="Single"/>
    <x v="1"/>
    <n v="60000"/>
    <x v="2"/>
    <n v="1"/>
    <s v="Partial College"/>
    <s v="Skilled Manual"/>
    <s v="Yes"/>
    <n v="1"/>
    <x v="2"/>
    <x v="1"/>
    <n v="46"/>
    <x v="0"/>
    <x v="1"/>
    <n v="1"/>
    <m/>
  </r>
  <r>
    <n v="11451"/>
    <s v="Single"/>
    <x v="0"/>
    <n v="70000"/>
    <x v="2"/>
    <n v="0"/>
    <s v="Bachelors"/>
    <s v="Professional"/>
    <s v="No"/>
    <n v="4"/>
    <x v="4"/>
    <x v="1"/>
    <n v="31"/>
    <x v="1"/>
    <x v="1"/>
    <n v="1"/>
    <m/>
  </r>
  <r>
    <n v="27696"/>
    <s v="Married"/>
    <x v="0"/>
    <n v="60000"/>
    <x v="2"/>
    <n v="1"/>
    <s v="Bachelors"/>
    <s v="Professional"/>
    <s v="Yes"/>
    <n v="1"/>
    <x v="2"/>
    <x v="1"/>
    <n v="43"/>
    <x v="0"/>
    <x v="1"/>
    <n v="1"/>
    <m/>
  </r>
  <r>
    <n v="18711"/>
    <s v="Single"/>
    <x v="1"/>
    <n v="70000"/>
    <x v="2"/>
    <n v="5"/>
    <s v="Bachelors"/>
    <s v="Professional"/>
    <s v="Yes"/>
    <n v="4"/>
    <x v="4"/>
    <x v="1"/>
    <n v="39"/>
    <x v="1"/>
    <x v="0"/>
    <b v="0"/>
    <m/>
  </r>
  <r>
    <n v="22006"/>
    <s v="Married"/>
    <x v="0"/>
    <n v="70000"/>
    <x v="2"/>
    <n v="5"/>
    <s v="Partial College"/>
    <s v="Skilled Manual"/>
    <s v="Yes"/>
    <n v="3"/>
    <x v="2"/>
    <x v="1"/>
    <n v="46"/>
    <x v="0"/>
    <x v="0"/>
    <b v="0"/>
    <m/>
  </r>
  <r>
    <n v="23432"/>
    <s v="Single"/>
    <x v="0"/>
    <n v="70000"/>
    <x v="2"/>
    <n v="0"/>
    <s v="Bachelors"/>
    <s v="Professional"/>
    <s v="Yes"/>
    <n v="1"/>
    <x v="2"/>
    <x v="1"/>
    <n v="37"/>
    <x v="1"/>
    <x v="1"/>
    <n v="1"/>
    <m/>
  </r>
  <r>
    <n v="12666"/>
    <s v="Single"/>
    <x v="0"/>
    <n v="60000"/>
    <x v="2"/>
    <n v="0"/>
    <s v="Bachelors"/>
    <s v="Professional"/>
    <s v="No"/>
    <n v="4"/>
    <x v="3"/>
    <x v="1"/>
    <n v="31"/>
    <x v="1"/>
    <x v="0"/>
    <b v="0"/>
    <m/>
  </r>
  <r>
    <n v="23419"/>
    <s v="Single"/>
    <x v="1"/>
    <n v="70000"/>
    <x v="2"/>
    <n v="5"/>
    <s v="Bachelors"/>
    <s v="Professional"/>
    <s v="Yes"/>
    <n v="3"/>
    <x v="4"/>
    <x v="1"/>
    <n v="39"/>
    <x v="1"/>
    <x v="0"/>
    <b v="0"/>
    <m/>
  </r>
  <r>
    <n v="19626"/>
    <s v="Married"/>
    <x v="0"/>
    <n v="70000"/>
    <x v="2"/>
    <n v="5"/>
    <s v="Partial College"/>
    <s v="Skilled Manual"/>
    <s v="Yes"/>
    <n v="3"/>
    <x v="2"/>
    <x v="1"/>
    <n v="45"/>
    <x v="0"/>
    <x v="0"/>
    <b v="0"/>
    <m/>
  </r>
  <r>
    <n v="22005"/>
    <s v="Married"/>
    <x v="1"/>
    <n v="70000"/>
    <x v="2"/>
    <n v="5"/>
    <s v="Partial College"/>
    <s v="Skilled Manual"/>
    <s v="No"/>
    <n v="3"/>
    <x v="2"/>
    <x v="1"/>
    <n v="46"/>
    <x v="0"/>
    <x v="0"/>
    <b v="0"/>
    <m/>
  </r>
  <r>
    <n v="14312"/>
    <s v="Married"/>
    <x v="1"/>
    <n v="60000"/>
    <x v="2"/>
    <n v="1"/>
    <s v="Partial College"/>
    <s v="Skilled Manual"/>
    <s v="Yes"/>
    <n v="1"/>
    <x v="2"/>
    <x v="1"/>
    <n v="45"/>
    <x v="0"/>
    <x v="0"/>
    <b v="0"/>
    <m/>
  </r>
  <r>
    <n v="28319"/>
    <s v="Single"/>
    <x v="1"/>
    <n v="60000"/>
    <x v="2"/>
    <n v="1"/>
    <s v="Partial College"/>
    <s v="Skilled Manual"/>
    <s v="No"/>
    <n v="1"/>
    <x v="0"/>
    <x v="1"/>
    <n v="46"/>
    <x v="0"/>
    <x v="1"/>
    <n v="1"/>
    <m/>
  </r>
  <r>
    <n v="26663"/>
    <s v="Single"/>
    <x v="1"/>
    <n v="60000"/>
    <x v="2"/>
    <n v="2"/>
    <s v="Bachelors"/>
    <s v="Professional"/>
    <s v="No"/>
    <n v="1"/>
    <x v="0"/>
    <x v="1"/>
    <n v="39"/>
    <x v="1"/>
    <x v="1"/>
    <n v="1"/>
    <m/>
  </r>
  <r>
    <n v="21207"/>
    <s v="Married"/>
    <x v="0"/>
    <n v="60000"/>
    <x v="2"/>
    <n v="1"/>
    <s v="Partial College"/>
    <s v="Skilled Manual"/>
    <s v="Yes"/>
    <n v="1"/>
    <x v="2"/>
    <x v="1"/>
    <n v="46"/>
    <x v="0"/>
    <x v="0"/>
    <b v="0"/>
    <m/>
  </r>
  <r>
    <n v="21213"/>
    <s v="Single"/>
    <x v="0"/>
    <n v="70000"/>
    <x v="2"/>
    <n v="0"/>
    <s v="Bachelors"/>
    <s v="Professional"/>
    <s v="No"/>
    <n v="1"/>
    <x v="2"/>
    <x v="1"/>
    <n v="41"/>
    <x v="0"/>
    <x v="0"/>
    <b v="0"/>
    <m/>
  </r>
  <r>
    <n v="22936"/>
    <s v="Single"/>
    <x v="1"/>
    <n v="60000"/>
    <x v="2"/>
    <n v="1"/>
    <s v="Partial College"/>
    <s v="Skilled Manual"/>
    <s v="No"/>
    <n v="1"/>
    <x v="0"/>
    <x v="1"/>
    <n v="45"/>
    <x v="0"/>
    <x v="1"/>
    <n v="1"/>
    <m/>
  </r>
  <r>
    <n v="17310"/>
    <s v="Married"/>
    <x v="0"/>
    <n v="60000"/>
    <x v="2"/>
    <n v="1"/>
    <s v="Partial College"/>
    <s v="Skilled Manual"/>
    <s v="Yes"/>
    <n v="1"/>
    <x v="0"/>
    <x v="1"/>
    <n v="45"/>
    <x v="0"/>
    <x v="1"/>
    <n v="1"/>
    <m/>
  </r>
  <r>
    <n v="18267"/>
    <s v="Married"/>
    <x v="0"/>
    <n v="60000"/>
    <x v="2"/>
    <n v="3"/>
    <s v="Bachelors"/>
    <s v="Professional"/>
    <s v="Yes"/>
    <n v="2"/>
    <x v="2"/>
    <x v="1"/>
    <n v="43"/>
    <x v="0"/>
    <x v="0"/>
    <b v="0"/>
    <m/>
  </r>
  <r>
    <n v="13620"/>
    <s v="Single"/>
    <x v="0"/>
    <n v="70000"/>
    <x v="2"/>
    <n v="0"/>
    <s v="Bachelors"/>
    <s v="Professional"/>
    <s v="No"/>
    <n v="3"/>
    <x v="4"/>
    <x v="1"/>
    <n v="30"/>
    <x v="1"/>
    <x v="1"/>
    <n v="1"/>
    <m/>
  </r>
  <r>
    <n v="21184"/>
    <s v="Single"/>
    <x v="0"/>
    <n v="70000"/>
    <x v="2"/>
    <n v="0"/>
    <s v="Bachelors"/>
    <s v="Professional"/>
    <s v="No"/>
    <n v="1"/>
    <x v="2"/>
    <x v="1"/>
    <n v="38"/>
    <x v="1"/>
    <x v="0"/>
    <b v="0"/>
    <m/>
  </r>
  <r>
    <n v="26150"/>
    <s v="Single"/>
    <x v="1"/>
    <n v="70000"/>
    <x v="2"/>
    <n v="0"/>
    <s v="Bachelors"/>
    <s v="Professional"/>
    <s v="No"/>
    <n v="1"/>
    <x v="0"/>
    <x v="1"/>
    <n v="41"/>
    <x v="0"/>
    <x v="1"/>
    <n v="1"/>
    <m/>
  </r>
  <r>
    <n v="16163"/>
    <s v="Single"/>
    <x v="0"/>
    <n v="60000"/>
    <x v="2"/>
    <n v="2"/>
    <s v="Bachelors"/>
    <s v="Professional"/>
    <s v="Yes"/>
    <n v="1"/>
    <x v="3"/>
    <x v="1"/>
    <n v="38"/>
    <x v="1"/>
    <x v="1"/>
    <n v="1"/>
    <m/>
  </r>
  <r>
    <n v="11116"/>
    <s v="Married"/>
    <x v="0"/>
    <n v="70000"/>
    <x v="2"/>
    <n v="5"/>
    <s v="Partial College"/>
    <s v="Skilled Manual"/>
    <s v="Yes"/>
    <n v="2"/>
    <x v="2"/>
    <x v="1"/>
    <n v="43"/>
    <x v="0"/>
    <x v="0"/>
    <b v="0"/>
    <m/>
  </r>
  <r>
    <n v="11897"/>
    <s v="Single"/>
    <x v="0"/>
    <n v="60000"/>
    <x v="2"/>
    <n v="2"/>
    <s v="Bachelors"/>
    <s v="Professional"/>
    <s v="No"/>
    <n v="1"/>
    <x v="0"/>
    <x v="1"/>
    <n v="37"/>
    <x v="1"/>
    <x v="1"/>
    <n v="1"/>
    <m/>
  </r>
  <r>
    <n v="19618"/>
    <s v="Married"/>
    <x v="0"/>
    <n v="70000"/>
    <x v="2"/>
    <n v="5"/>
    <s v="Partial College"/>
    <s v="Skilled Manual"/>
    <s v="Yes"/>
    <n v="2"/>
    <x v="0"/>
    <x v="1"/>
    <n v="44"/>
    <x v="0"/>
    <x v="0"/>
    <b v="0"/>
    <m/>
  </r>
  <r>
    <n v="11061"/>
    <s v="Married"/>
    <x v="0"/>
    <n v="70000"/>
    <x v="2"/>
    <n v="2"/>
    <s v="Partial College"/>
    <s v="Skilled Manual"/>
    <s v="Yes"/>
    <n v="2"/>
    <x v="2"/>
    <x v="1"/>
    <n v="52"/>
    <x v="0"/>
    <x v="1"/>
    <n v="1"/>
    <m/>
  </r>
  <r>
    <n v="26765"/>
    <s v="Single"/>
    <x v="1"/>
    <n v="70000"/>
    <x v="2"/>
    <n v="5"/>
    <s v="Partial College"/>
    <s v="Skilled Manual"/>
    <s v="Yes"/>
    <n v="2"/>
    <x v="2"/>
    <x v="1"/>
    <n v="45"/>
    <x v="0"/>
    <x v="0"/>
    <b v="0"/>
    <m/>
  </r>
  <r>
    <n v="28323"/>
    <s v="Single"/>
    <x v="0"/>
    <n v="70000"/>
    <x v="2"/>
    <n v="0"/>
    <s v="Bachelors"/>
    <s v="Professional"/>
    <s v="No"/>
    <n v="2"/>
    <x v="2"/>
    <x v="1"/>
    <n v="43"/>
    <x v="0"/>
    <x v="1"/>
    <n v="1"/>
    <m/>
  </r>
  <r>
    <n v="21974"/>
    <s v="Single"/>
    <x v="1"/>
    <n v="70000"/>
    <x v="2"/>
    <n v="0"/>
    <s v="Bachelors"/>
    <s v="Professional"/>
    <s v="Yes"/>
    <n v="1"/>
    <x v="2"/>
    <x v="1"/>
    <n v="42"/>
    <x v="0"/>
    <x v="1"/>
    <n v="1"/>
    <m/>
  </r>
  <r>
    <n v="14032"/>
    <s v="Married"/>
    <x v="0"/>
    <n v="70000"/>
    <x v="2"/>
    <n v="2"/>
    <s v="High School"/>
    <s v="Skilled Manual"/>
    <s v="No"/>
    <n v="2"/>
    <x v="1"/>
    <x v="1"/>
    <n v="50"/>
    <x v="0"/>
    <x v="1"/>
    <n v="1"/>
    <m/>
  </r>
  <r>
    <n v="11738"/>
    <s v="Married"/>
    <x v="0"/>
    <n v="60000"/>
    <x v="2"/>
    <n v="4"/>
    <s v="Bachelors"/>
    <s v="Professional"/>
    <s v="Yes"/>
    <n v="0"/>
    <x v="3"/>
    <x v="2"/>
    <n v="46"/>
    <x v="0"/>
    <x v="0"/>
    <b v="0"/>
    <m/>
  </r>
  <r>
    <n v="25065"/>
    <s v="Married"/>
    <x v="0"/>
    <n v="70000"/>
    <x v="2"/>
    <n v="2"/>
    <s v="Partial High School"/>
    <s v="Skilled Manual"/>
    <s v="Yes"/>
    <n v="2"/>
    <x v="2"/>
    <x v="2"/>
    <n v="48"/>
    <x v="0"/>
    <x v="0"/>
    <b v="0"/>
    <m/>
  </r>
  <r>
    <n v="23707"/>
    <s v="Single"/>
    <x v="0"/>
    <n v="70000"/>
    <x v="2"/>
    <n v="5"/>
    <s v="Bachelors"/>
    <s v="Management"/>
    <s v="Yes"/>
    <n v="3"/>
    <x v="4"/>
    <x v="2"/>
    <n v="60"/>
    <x v="2"/>
    <x v="1"/>
    <n v="1"/>
    <m/>
  </r>
  <r>
    <n v="27650"/>
    <s v="Married"/>
    <x v="0"/>
    <n v="70000"/>
    <x v="2"/>
    <n v="4"/>
    <s v="High School"/>
    <s v="Professional"/>
    <s v="Yes"/>
    <n v="0"/>
    <x v="2"/>
    <x v="2"/>
    <n v="51"/>
    <x v="0"/>
    <x v="0"/>
    <b v="0"/>
    <m/>
  </r>
  <r>
    <n v="24981"/>
    <s v="Married"/>
    <x v="0"/>
    <n v="60000"/>
    <x v="2"/>
    <n v="2"/>
    <s v="Partial College"/>
    <s v="Professional"/>
    <s v="Yes"/>
    <n v="2"/>
    <x v="4"/>
    <x v="2"/>
    <n v="56"/>
    <x v="0"/>
    <x v="0"/>
    <b v="0"/>
    <m/>
  </r>
  <r>
    <n v="20678"/>
    <s v="Single"/>
    <x v="1"/>
    <n v="60000"/>
    <x v="2"/>
    <n v="3"/>
    <s v="Bachelors"/>
    <s v="Skilled Manual"/>
    <s v="Yes"/>
    <n v="1"/>
    <x v="3"/>
    <x v="2"/>
    <n v="40"/>
    <x v="0"/>
    <x v="1"/>
    <n v="1"/>
    <m/>
  </r>
  <r>
    <n v="15302"/>
    <s v="Single"/>
    <x v="1"/>
    <n v="70000"/>
    <x v="2"/>
    <n v="1"/>
    <s v="Graduate Degree"/>
    <s v="Professional"/>
    <s v="Yes"/>
    <n v="0"/>
    <x v="3"/>
    <x v="2"/>
    <n v="34"/>
    <x v="1"/>
    <x v="1"/>
    <n v="1"/>
    <m/>
  </r>
  <r>
    <n v="15559"/>
    <s v="Married"/>
    <x v="0"/>
    <n v="60000"/>
    <x v="2"/>
    <n v="5"/>
    <s v="Bachelors"/>
    <s v="Professional"/>
    <s v="Yes"/>
    <n v="1"/>
    <x v="3"/>
    <x v="2"/>
    <n v="47"/>
    <x v="0"/>
    <x v="0"/>
    <b v="0"/>
    <m/>
  </r>
  <r>
    <n v="25405"/>
    <s v="Married"/>
    <x v="0"/>
    <n v="70000"/>
    <x v="2"/>
    <n v="2"/>
    <s v="Bachelors"/>
    <s v="Skilled Manual"/>
    <s v="Yes"/>
    <n v="1"/>
    <x v="3"/>
    <x v="2"/>
    <n v="38"/>
    <x v="1"/>
    <x v="1"/>
    <n v="1"/>
    <m/>
  </r>
  <r>
    <n v="25074"/>
    <s v="Married"/>
    <x v="1"/>
    <n v="70000"/>
    <x v="2"/>
    <n v="4"/>
    <s v="Bachelors"/>
    <s v="Professional"/>
    <s v="Yes"/>
    <n v="2"/>
    <x v="3"/>
    <x v="2"/>
    <n v="42"/>
    <x v="0"/>
    <x v="1"/>
    <n v="1"/>
    <m/>
  </r>
  <r>
    <n v="16337"/>
    <s v="Married"/>
    <x v="0"/>
    <n v="60000"/>
    <x v="2"/>
    <n v="0"/>
    <s v="Partial College"/>
    <s v="Skilled Manual"/>
    <s v="No"/>
    <n v="2"/>
    <x v="1"/>
    <x v="2"/>
    <n v="29"/>
    <x v="1"/>
    <x v="0"/>
    <b v="0"/>
    <m/>
  </r>
  <r>
    <n v="18613"/>
    <s v="Single"/>
    <x v="0"/>
    <n v="70000"/>
    <x v="2"/>
    <n v="0"/>
    <s v="Bachelors"/>
    <s v="Professional"/>
    <s v="No"/>
    <n v="1"/>
    <x v="3"/>
    <x v="2"/>
    <n v="37"/>
    <x v="1"/>
    <x v="1"/>
    <n v="1"/>
    <m/>
  </r>
  <r>
    <n v="18052"/>
    <s v="Married"/>
    <x v="1"/>
    <n v="60000"/>
    <x v="2"/>
    <n v="1"/>
    <s v="Partial College"/>
    <s v="Skilled Manual"/>
    <s v="Yes"/>
    <n v="1"/>
    <x v="0"/>
    <x v="2"/>
    <n v="45"/>
    <x v="0"/>
    <x v="1"/>
    <n v="1"/>
    <m/>
  </r>
  <r>
    <n v="13353"/>
    <s v="Single"/>
    <x v="1"/>
    <n v="60000"/>
    <x v="2"/>
    <n v="4"/>
    <s v="Graduate Degree"/>
    <s v="Management"/>
    <s v="Yes"/>
    <n v="2"/>
    <x v="4"/>
    <x v="2"/>
    <n v="61"/>
    <x v="2"/>
    <x v="1"/>
    <n v="1"/>
    <m/>
  </r>
  <r>
    <n v="16154"/>
    <s v="Married"/>
    <x v="1"/>
    <n v="70000"/>
    <x v="2"/>
    <n v="5"/>
    <s v="Bachelors"/>
    <s v="Professional"/>
    <s v="Yes"/>
    <n v="2"/>
    <x v="3"/>
    <x v="2"/>
    <n v="47"/>
    <x v="0"/>
    <x v="0"/>
    <b v="0"/>
    <m/>
  </r>
  <r>
    <n v="22219"/>
    <s v="Married"/>
    <x v="1"/>
    <n v="60000"/>
    <x v="2"/>
    <n v="2"/>
    <s v="High School"/>
    <s v="Professional"/>
    <s v="Yes"/>
    <n v="2"/>
    <x v="2"/>
    <x v="2"/>
    <n v="49"/>
    <x v="0"/>
    <x v="0"/>
    <b v="0"/>
    <m/>
  </r>
  <r>
    <n v="17269"/>
    <s v="Single"/>
    <x v="0"/>
    <n v="60000"/>
    <x v="2"/>
    <n v="3"/>
    <s v="Bachelors"/>
    <s v="Professional"/>
    <s v="No"/>
    <n v="0"/>
    <x v="0"/>
    <x v="2"/>
    <n v="47"/>
    <x v="0"/>
    <x v="1"/>
    <n v="1"/>
    <m/>
  </r>
  <r>
    <n v="19413"/>
    <s v="Single"/>
    <x v="0"/>
    <n v="60000"/>
    <x v="2"/>
    <n v="3"/>
    <s v="Bachelors"/>
    <s v="Professional"/>
    <s v="No"/>
    <n v="1"/>
    <x v="0"/>
    <x v="2"/>
    <n v="47"/>
    <x v="0"/>
    <x v="1"/>
    <n v="1"/>
    <m/>
  </r>
  <r>
    <n v="16791"/>
    <s v="Single"/>
    <x v="0"/>
    <n v="60000"/>
    <x v="2"/>
    <n v="5"/>
    <s v="Bachelors"/>
    <s v="Management"/>
    <s v="Yes"/>
    <n v="3"/>
    <x v="4"/>
    <x v="2"/>
    <n v="59"/>
    <x v="0"/>
    <x v="1"/>
    <n v="1"/>
    <m/>
  </r>
  <r>
    <n v="13233"/>
    <s v="Married"/>
    <x v="0"/>
    <n v="60000"/>
    <x v="2"/>
    <n v="2"/>
    <s v="Partial College"/>
    <s v="Professional"/>
    <s v="Yes"/>
    <n v="1"/>
    <x v="4"/>
    <x v="2"/>
    <n v="57"/>
    <x v="0"/>
    <x v="1"/>
    <n v="1"/>
    <m/>
  </r>
  <r>
    <n v="25909"/>
    <s v="Married"/>
    <x v="0"/>
    <n v="60000"/>
    <x v="2"/>
    <n v="0"/>
    <s v="Partial College"/>
    <s v="Skilled Manual"/>
    <s v="Yes"/>
    <n v="1"/>
    <x v="2"/>
    <x v="2"/>
    <n v="27"/>
    <x v="1"/>
    <x v="1"/>
    <n v="1"/>
    <m/>
  </r>
  <r>
    <n v="29143"/>
    <s v="Single"/>
    <x v="1"/>
    <n v="60000"/>
    <x v="2"/>
    <n v="1"/>
    <s v="Bachelors"/>
    <s v="Professional"/>
    <s v="No"/>
    <n v="1"/>
    <x v="0"/>
    <x v="2"/>
    <n v="44"/>
    <x v="0"/>
    <x v="1"/>
    <n v="1"/>
    <m/>
  </r>
  <r>
    <n v="24941"/>
    <s v="Married"/>
    <x v="0"/>
    <n v="60000"/>
    <x v="2"/>
    <n v="3"/>
    <s v="Bachelors"/>
    <s v="Management"/>
    <s v="Yes"/>
    <n v="2"/>
    <x v="4"/>
    <x v="2"/>
    <n v="66"/>
    <x v="2"/>
    <x v="0"/>
    <b v="0"/>
    <m/>
  </r>
  <r>
    <n v="22294"/>
    <s v="Single"/>
    <x v="1"/>
    <n v="70000"/>
    <x v="2"/>
    <n v="0"/>
    <s v="Bachelors"/>
    <s v="Professional"/>
    <s v="No"/>
    <n v="1"/>
    <x v="3"/>
    <x v="2"/>
    <n v="37"/>
    <x v="1"/>
    <x v="1"/>
    <n v="1"/>
    <m/>
  </r>
  <r>
    <n v="12195"/>
    <s v="Single"/>
    <x v="1"/>
    <n v="70000"/>
    <x v="2"/>
    <n v="3"/>
    <s v="Graduate Degree"/>
    <s v="Management"/>
    <s v="Yes"/>
    <n v="2"/>
    <x v="1"/>
    <x v="2"/>
    <n v="52"/>
    <x v="0"/>
    <x v="0"/>
    <b v="0"/>
    <m/>
  </r>
  <r>
    <n v="25898"/>
    <s v="Married"/>
    <x v="1"/>
    <n v="70000"/>
    <x v="2"/>
    <n v="2"/>
    <s v="High School"/>
    <s v="Professional"/>
    <s v="Yes"/>
    <n v="2"/>
    <x v="3"/>
    <x v="2"/>
    <n v="53"/>
    <x v="0"/>
    <x v="0"/>
    <b v="0"/>
    <m/>
  </r>
  <r>
    <n v="19758"/>
    <s v="Single"/>
    <x v="0"/>
    <n v="60000"/>
    <x v="2"/>
    <n v="0"/>
    <s v="Partial College"/>
    <s v="Skilled Manual"/>
    <s v="No"/>
    <n v="2"/>
    <x v="1"/>
    <x v="2"/>
    <n v="29"/>
    <x v="1"/>
    <x v="0"/>
    <b v="0"/>
    <m/>
  </r>
  <r>
    <n v="15529"/>
    <s v="Married"/>
    <x v="0"/>
    <n v="60000"/>
    <x v="2"/>
    <n v="4"/>
    <s v="Bachelors"/>
    <s v="Professional"/>
    <s v="Yes"/>
    <n v="2"/>
    <x v="3"/>
    <x v="2"/>
    <n v="43"/>
    <x v="0"/>
    <x v="1"/>
    <n v="1"/>
    <m/>
  </r>
  <r>
    <n v="19884"/>
    <s v="Married"/>
    <x v="0"/>
    <n v="60000"/>
    <x v="2"/>
    <n v="2"/>
    <s v="High School"/>
    <s v="Professional"/>
    <s v="Yes"/>
    <n v="2"/>
    <x v="3"/>
    <x v="2"/>
    <n v="55"/>
    <x v="0"/>
    <x v="1"/>
    <n v="1"/>
    <m/>
  </r>
  <r>
    <n v="14063"/>
    <s v="Single"/>
    <x v="1"/>
    <n v="70000"/>
    <x v="2"/>
    <n v="0"/>
    <s v="Bachelors"/>
    <s v="Professional"/>
    <s v="No"/>
    <n v="1"/>
    <x v="0"/>
    <x v="1"/>
    <n v="42"/>
    <x v="0"/>
    <x v="1"/>
    <n v="1"/>
    <m/>
  </r>
  <r>
    <n v="14417"/>
    <s v="Single"/>
    <x v="0"/>
    <n v="60000"/>
    <x v="2"/>
    <n v="3"/>
    <s v="High School"/>
    <s v="Professional"/>
    <s v="Yes"/>
    <n v="2"/>
    <x v="4"/>
    <x v="2"/>
    <n v="54"/>
    <x v="0"/>
    <x v="1"/>
    <n v="1"/>
    <m/>
  </r>
  <r>
    <n v="18580"/>
    <s v="Married"/>
    <x v="1"/>
    <n v="60000"/>
    <x v="2"/>
    <n v="2"/>
    <s v="Graduate Degree"/>
    <s v="Professional"/>
    <s v="Yes"/>
    <n v="0"/>
    <x v="3"/>
    <x v="2"/>
    <n v="40"/>
    <x v="0"/>
    <x v="1"/>
    <n v="1"/>
    <m/>
  </r>
  <r>
    <n v="15895"/>
    <s v="Single"/>
    <x v="1"/>
    <n v="60000"/>
    <x v="2"/>
    <n v="2"/>
    <s v="Bachelors"/>
    <s v="Management"/>
    <s v="Yes"/>
    <n v="0"/>
    <x v="4"/>
    <x v="2"/>
    <n v="58"/>
    <x v="0"/>
    <x v="0"/>
    <b v="0"/>
    <m/>
  </r>
  <r>
    <n v="18577"/>
    <s v="Married"/>
    <x v="1"/>
    <n v="60000"/>
    <x v="2"/>
    <n v="0"/>
    <s v="Graduate Degree"/>
    <s v="Professional"/>
    <s v="Yes"/>
    <n v="0"/>
    <x v="0"/>
    <x v="2"/>
    <n v="40"/>
    <x v="0"/>
    <x v="0"/>
    <b v="0"/>
    <m/>
  </r>
  <r>
    <n v="18560"/>
    <s v="Married"/>
    <x v="1"/>
    <n v="70000"/>
    <x v="2"/>
    <n v="2"/>
    <s v="Graduate Degree"/>
    <s v="Professional"/>
    <s v="Yes"/>
    <n v="0"/>
    <x v="3"/>
    <x v="2"/>
    <n v="34"/>
    <x v="1"/>
    <x v="1"/>
    <n v="1"/>
    <m/>
  </r>
  <r>
    <n v="18847"/>
    <s v="Married"/>
    <x v="1"/>
    <n v="60000"/>
    <x v="2"/>
    <n v="2"/>
    <s v="Graduate Degree"/>
    <s v="Management"/>
    <s v="Yes"/>
    <n v="2"/>
    <x v="2"/>
    <x v="2"/>
    <n v="70"/>
    <x v="2"/>
    <x v="0"/>
    <b v="0"/>
    <m/>
  </r>
  <r>
    <n v="23378"/>
    <s v="Married"/>
    <x v="0"/>
    <n v="70000"/>
    <x v="2"/>
    <n v="1"/>
    <s v="Partial College"/>
    <s v="Skilled Manual"/>
    <s v="Yes"/>
    <n v="1"/>
    <x v="3"/>
    <x v="2"/>
    <n v="44"/>
    <x v="0"/>
    <x v="1"/>
    <n v="1"/>
    <m/>
  </r>
  <r>
    <n v="20370"/>
    <s v="Married"/>
    <x v="0"/>
    <n v="70000"/>
    <x v="2"/>
    <n v="3"/>
    <s v="Partial High School"/>
    <s v="Skilled Manual"/>
    <s v="Yes"/>
    <n v="2"/>
    <x v="2"/>
    <x v="2"/>
    <n v="52"/>
    <x v="0"/>
    <x v="0"/>
    <b v="0"/>
    <m/>
  </r>
  <r>
    <n v="21751"/>
    <s v="Married"/>
    <x v="0"/>
    <n v="60000"/>
    <x v="2"/>
    <n v="3"/>
    <s v="Graduate Degree"/>
    <s v="Management"/>
    <s v="Yes"/>
    <n v="2"/>
    <x v="1"/>
    <x v="2"/>
    <n v="63"/>
    <x v="2"/>
    <x v="0"/>
    <b v="0"/>
    <m/>
  </r>
  <r>
    <n v="13388"/>
    <s v="Single"/>
    <x v="0"/>
    <n v="60000"/>
    <x v="2"/>
    <n v="2"/>
    <s v="Partial College"/>
    <s v="Professional"/>
    <s v="Yes"/>
    <n v="1"/>
    <x v="4"/>
    <x v="2"/>
    <n v="56"/>
    <x v="0"/>
    <x v="0"/>
    <b v="0"/>
    <m/>
  </r>
  <r>
    <n v="15313"/>
    <s v="Married"/>
    <x v="0"/>
    <n v="60000"/>
    <x v="2"/>
    <n v="4"/>
    <s v="Bachelors"/>
    <s v="Management"/>
    <s v="Yes"/>
    <n v="2"/>
    <x v="3"/>
    <x v="2"/>
    <n v="59"/>
    <x v="0"/>
    <x v="0"/>
    <b v="0"/>
    <m/>
  </r>
  <r>
    <n v="20380"/>
    <s v="Married"/>
    <x v="1"/>
    <n v="60000"/>
    <x v="2"/>
    <n v="3"/>
    <s v="Graduate Degree"/>
    <s v="Management"/>
    <s v="Yes"/>
    <n v="2"/>
    <x v="4"/>
    <x v="2"/>
    <n v="69"/>
    <x v="2"/>
    <x v="0"/>
    <b v="0"/>
    <m/>
  </r>
  <r>
    <n v="24943"/>
    <s v="Married"/>
    <x v="0"/>
    <n v="60000"/>
    <x v="2"/>
    <n v="3"/>
    <s v="Bachelors"/>
    <s v="Management"/>
    <s v="Yes"/>
    <n v="2"/>
    <x v="4"/>
    <x v="2"/>
    <n v="66"/>
    <x v="2"/>
    <x v="0"/>
    <b v="0"/>
    <m/>
  </r>
  <r>
    <n v="28667"/>
    <s v="Single"/>
    <x v="0"/>
    <n v="70000"/>
    <x v="2"/>
    <n v="2"/>
    <s v="Bachelors"/>
    <s v="Skilled Manual"/>
    <s v="No"/>
    <n v="1"/>
    <x v="0"/>
    <x v="2"/>
    <n v="37"/>
    <x v="1"/>
    <x v="1"/>
    <n v="1"/>
    <m/>
  </r>
  <r>
    <n v="17436"/>
    <s v="Married"/>
    <x v="0"/>
    <n v="60000"/>
    <x v="2"/>
    <n v="2"/>
    <s v="High School"/>
    <s v="Professional"/>
    <s v="No"/>
    <n v="2"/>
    <x v="1"/>
    <x v="2"/>
    <n v="51"/>
    <x v="0"/>
    <x v="0"/>
    <b v="0"/>
    <m/>
  </r>
  <r>
    <n v="12100"/>
    <s v="Single"/>
    <x v="0"/>
    <n v="60000"/>
    <x v="2"/>
    <n v="2"/>
    <s v="Bachelors"/>
    <s v="Management"/>
    <s v="Yes"/>
    <n v="0"/>
    <x v="4"/>
    <x v="2"/>
    <n v="57"/>
    <x v="0"/>
    <x v="0"/>
    <b v="0"/>
    <m/>
  </r>
  <r>
    <n v="23158"/>
    <s v="Married"/>
    <x v="1"/>
    <n v="60000"/>
    <x v="2"/>
    <n v="1"/>
    <s v="Graduate Degree"/>
    <s v="Professional"/>
    <s v="No"/>
    <n v="0"/>
    <x v="0"/>
    <x v="2"/>
    <n v="35"/>
    <x v="1"/>
    <x v="1"/>
    <n v="1"/>
    <m/>
  </r>
  <r>
    <n v="19812"/>
    <s v="Single"/>
    <x v="1"/>
    <n v="70000"/>
    <x v="2"/>
    <n v="2"/>
    <s v="Partial College"/>
    <s v="Professional"/>
    <s v="Yes"/>
    <n v="0"/>
    <x v="2"/>
    <x v="2"/>
    <n v="49"/>
    <x v="0"/>
    <x v="1"/>
    <n v="1"/>
    <m/>
  </r>
  <r>
    <n v="19002"/>
    <s v="Married"/>
    <x v="1"/>
    <n v="60000"/>
    <x v="2"/>
    <n v="2"/>
    <s v="Partial College"/>
    <s v="Professional"/>
    <s v="Yes"/>
    <n v="1"/>
    <x v="3"/>
    <x v="2"/>
    <n v="57"/>
    <x v="0"/>
    <x v="1"/>
    <n v="1"/>
    <m/>
  </r>
  <r>
    <n v="18858"/>
    <s v="Single"/>
    <x v="0"/>
    <n v="60000"/>
    <x v="2"/>
    <n v="2"/>
    <s v="Partial High School"/>
    <s v="Skilled Manual"/>
    <s v="Yes"/>
    <n v="2"/>
    <x v="2"/>
    <x v="2"/>
    <n v="52"/>
    <x v="0"/>
    <x v="1"/>
    <n v="1"/>
    <m/>
  </r>
  <r>
    <n v="20000"/>
    <s v="Married"/>
    <x v="0"/>
    <n v="60000"/>
    <x v="2"/>
    <n v="1"/>
    <s v="Graduate Degree"/>
    <s v="Professional"/>
    <s v="Yes"/>
    <n v="0"/>
    <x v="0"/>
    <x v="2"/>
    <n v="35"/>
    <x v="1"/>
    <x v="1"/>
    <n v="1"/>
    <m/>
  </r>
  <r>
    <n v="17458"/>
    <s v="Single"/>
    <x v="0"/>
    <n v="70000"/>
    <x v="2"/>
    <n v="3"/>
    <s v="High School"/>
    <s v="Professional"/>
    <s v="Yes"/>
    <n v="0"/>
    <x v="2"/>
    <x v="2"/>
    <n v="52"/>
    <x v="0"/>
    <x v="1"/>
    <n v="1"/>
    <m/>
  </r>
  <r>
    <n v="16145"/>
    <s v="Single"/>
    <x v="1"/>
    <n v="70000"/>
    <x v="2"/>
    <n v="5"/>
    <s v="Graduate Degree"/>
    <s v="Professional"/>
    <s v="Yes"/>
    <n v="3"/>
    <x v="4"/>
    <x v="2"/>
    <n v="46"/>
    <x v="0"/>
    <x v="1"/>
    <n v="1"/>
    <m/>
  </r>
  <r>
    <n v="16890"/>
    <s v="Married"/>
    <x v="0"/>
    <n v="60000"/>
    <x v="2"/>
    <n v="3"/>
    <s v="Partial High School"/>
    <s v="Skilled Manual"/>
    <s v="Yes"/>
    <n v="2"/>
    <x v="2"/>
    <x v="2"/>
    <n v="52"/>
    <x v="0"/>
    <x v="1"/>
    <n v="1"/>
    <m/>
  </r>
  <r>
    <n v="25983"/>
    <s v="Married"/>
    <x v="0"/>
    <n v="70000"/>
    <x v="2"/>
    <n v="0"/>
    <s v="Bachelors"/>
    <s v="Professional"/>
    <s v="No"/>
    <n v="1"/>
    <x v="0"/>
    <x v="2"/>
    <n v="43"/>
    <x v="0"/>
    <x v="0"/>
    <b v="0"/>
    <m/>
  </r>
  <r>
    <n v="14633"/>
    <s v="Married"/>
    <x v="0"/>
    <n v="60000"/>
    <x v="2"/>
    <n v="1"/>
    <s v="Partial College"/>
    <s v="Skilled Manual"/>
    <s v="Yes"/>
    <n v="1"/>
    <x v="3"/>
    <x v="2"/>
    <n v="44"/>
    <x v="0"/>
    <x v="0"/>
    <b v="0"/>
    <m/>
  </r>
  <r>
    <n v="11538"/>
    <s v="Single"/>
    <x v="1"/>
    <n v="60000"/>
    <x v="2"/>
    <n v="4"/>
    <s v="Graduate Degree"/>
    <s v="Skilled Manual"/>
    <s v="No"/>
    <n v="0"/>
    <x v="0"/>
    <x v="2"/>
    <n v="47"/>
    <x v="0"/>
    <x v="1"/>
    <n v="1"/>
    <m/>
  </r>
  <r>
    <n v="11200"/>
    <s v="Married"/>
    <x v="0"/>
    <n v="70000"/>
    <x v="2"/>
    <n v="4"/>
    <s v="Bachelors"/>
    <s v="Management"/>
    <s v="Yes"/>
    <n v="1"/>
    <x v="1"/>
    <x v="2"/>
    <n v="58"/>
    <x v="0"/>
    <x v="0"/>
    <b v="0"/>
    <m/>
  </r>
  <r>
    <n v="25101"/>
    <s v="Married"/>
    <x v="0"/>
    <n v="60000"/>
    <x v="2"/>
    <n v="5"/>
    <s v="Bachelors"/>
    <s v="Professional"/>
    <s v="Yes"/>
    <n v="1"/>
    <x v="3"/>
    <x v="2"/>
    <n v="47"/>
    <x v="0"/>
    <x v="0"/>
    <b v="0"/>
    <m/>
  </r>
  <r>
    <n v="21801"/>
    <s v="Married"/>
    <x v="1"/>
    <n v="70000"/>
    <x v="2"/>
    <n v="4"/>
    <s v="Partial College"/>
    <s v="Professional"/>
    <s v="Yes"/>
    <n v="1"/>
    <x v="1"/>
    <x v="2"/>
    <n v="55"/>
    <x v="0"/>
    <x v="0"/>
    <b v="0"/>
    <m/>
  </r>
  <r>
    <n v="25943"/>
    <s v="Single"/>
    <x v="1"/>
    <n v="70000"/>
    <x v="2"/>
    <n v="0"/>
    <s v="Partial College"/>
    <s v="Skilled Manual"/>
    <s v="No"/>
    <n v="2"/>
    <x v="0"/>
    <x v="2"/>
    <n v="27"/>
    <x v="1"/>
    <x v="1"/>
    <n v="1"/>
    <m/>
  </r>
  <r>
    <n v="22127"/>
    <s v="Married"/>
    <x v="0"/>
    <n v="60000"/>
    <x v="2"/>
    <n v="3"/>
    <s v="Graduate Degree"/>
    <s v="Management"/>
    <s v="Yes"/>
    <n v="2"/>
    <x v="1"/>
    <x v="2"/>
    <n v="67"/>
    <x v="2"/>
    <x v="0"/>
    <b v="0"/>
    <m/>
  </r>
  <r>
    <n v="20414"/>
    <s v="Married"/>
    <x v="1"/>
    <n v="60000"/>
    <x v="2"/>
    <n v="0"/>
    <s v="Partial College"/>
    <s v="Skilled Manual"/>
    <s v="Yes"/>
    <n v="2"/>
    <x v="2"/>
    <x v="2"/>
    <n v="29"/>
    <x v="1"/>
    <x v="0"/>
    <b v="0"/>
    <m/>
  </r>
  <r>
    <n v="23672"/>
    <s v="Married"/>
    <x v="1"/>
    <n v="60000"/>
    <x v="2"/>
    <n v="3"/>
    <s v="Graduate Degree"/>
    <s v="Management"/>
    <s v="Yes"/>
    <n v="2"/>
    <x v="1"/>
    <x v="2"/>
    <n v="67"/>
    <x v="2"/>
    <x v="0"/>
    <b v="0"/>
    <m/>
  </r>
  <r>
    <n v="27643"/>
    <s v="Single"/>
    <x v="0"/>
    <n v="70000"/>
    <x v="2"/>
    <n v="5"/>
    <s v="Partial College"/>
    <s v="Professional"/>
    <s v="Yes"/>
    <n v="3"/>
    <x v="3"/>
    <x v="2"/>
    <n v="44"/>
    <x v="0"/>
    <x v="0"/>
    <b v="0"/>
    <m/>
  </r>
  <r>
    <n v="27388"/>
    <s v="Married"/>
    <x v="0"/>
    <n v="60000"/>
    <x v="2"/>
    <n v="3"/>
    <s v="Bachelors"/>
    <s v="Management"/>
    <s v="No"/>
    <n v="2"/>
    <x v="1"/>
    <x v="2"/>
    <n v="66"/>
    <x v="2"/>
    <x v="0"/>
    <b v="0"/>
    <m/>
  </r>
  <r>
    <n v="18949"/>
    <s v="Single"/>
    <x v="0"/>
    <n v="70000"/>
    <x v="2"/>
    <n v="0"/>
    <s v="Graduate Degree"/>
    <s v="Management"/>
    <s v="Yes"/>
    <n v="2"/>
    <x v="2"/>
    <x v="2"/>
    <n v="74"/>
    <x v="2"/>
    <x v="1"/>
    <n v="1"/>
    <m/>
  </r>
  <r>
    <n v="25886"/>
    <s v="Married"/>
    <x v="1"/>
    <n v="60000"/>
    <x v="2"/>
    <n v="2"/>
    <s v="Partial College"/>
    <s v="Professional"/>
    <s v="Yes"/>
    <n v="2"/>
    <x v="3"/>
    <x v="2"/>
    <n v="56"/>
    <x v="0"/>
    <x v="1"/>
    <n v="1"/>
    <m/>
  </r>
  <r>
    <n v="21741"/>
    <s v="Married"/>
    <x v="1"/>
    <n v="70000"/>
    <x v="2"/>
    <n v="3"/>
    <s v="Partial College"/>
    <s v="Professional"/>
    <s v="Yes"/>
    <n v="2"/>
    <x v="2"/>
    <x v="2"/>
    <n v="50"/>
    <x v="0"/>
    <x v="1"/>
    <n v="1"/>
    <m/>
  </r>
  <r>
    <n v="14572"/>
    <s v="Married"/>
    <x v="1"/>
    <n v="70000"/>
    <x v="2"/>
    <n v="3"/>
    <s v="Graduate Degree"/>
    <s v="Professional"/>
    <s v="Yes"/>
    <n v="0"/>
    <x v="3"/>
    <x v="2"/>
    <n v="35"/>
    <x v="1"/>
    <x v="1"/>
    <n v="1"/>
    <m/>
  </r>
  <r>
    <n v="23368"/>
    <s v="Married"/>
    <x v="1"/>
    <n v="60000"/>
    <x v="2"/>
    <n v="5"/>
    <s v="Bachelors"/>
    <s v="Skilled Manual"/>
    <s v="Yes"/>
    <n v="3"/>
    <x v="4"/>
    <x v="2"/>
    <n v="41"/>
    <x v="0"/>
    <x v="0"/>
    <b v="0"/>
    <m/>
  </r>
  <r>
    <n v="16217"/>
    <s v="Single"/>
    <x v="1"/>
    <n v="60000"/>
    <x v="2"/>
    <n v="0"/>
    <s v="Graduate Degree"/>
    <s v="Skilled Manual"/>
    <s v="Yes"/>
    <n v="0"/>
    <x v="0"/>
    <x v="2"/>
    <n v="39"/>
    <x v="1"/>
    <x v="0"/>
    <b v="0"/>
    <m/>
  </r>
  <r>
    <n v="16247"/>
    <s v="Single"/>
    <x v="1"/>
    <n v="60000"/>
    <x v="2"/>
    <n v="4"/>
    <s v="Graduate Degree"/>
    <s v="Skilled Manual"/>
    <s v="No"/>
    <n v="0"/>
    <x v="1"/>
    <x v="2"/>
    <n v="47"/>
    <x v="0"/>
    <x v="0"/>
    <b v="0"/>
    <m/>
  </r>
  <r>
    <n v="25872"/>
    <s v="Single"/>
    <x v="1"/>
    <n v="70000"/>
    <x v="2"/>
    <n v="2"/>
    <s v="Bachelors"/>
    <s v="Management"/>
    <s v="No"/>
    <n v="1"/>
    <x v="3"/>
    <x v="2"/>
    <n v="58"/>
    <x v="0"/>
    <x v="1"/>
    <n v="1"/>
    <m/>
  </r>
  <r>
    <n v="19164"/>
    <s v="Single"/>
    <x v="1"/>
    <n v="70000"/>
    <x v="2"/>
    <n v="0"/>
    <s v="Bachelors"/>
    <s v="Professional"/>
    <s v="No"/>
    <n v="1"/>
    <x v="3"/>
    <x v="2"/>
    <n v="38"/>
    <x v="1"/>
    <x v="1"/>
    <n v="1"/>
    <m/>
  </r>
  <r>
    <n v="18435"/>
    <s v="Single"/>
    <x v="1"/>
    <n v="70000"/>
    <x v="2"/>
    <n v="5"/>
    <s v="Graduate Degree"/>
    <s v="Management"/>
    <s v="Yes"/>
    <n v="2"/>
    <x v="4"/>
    <x v="2"/>
    <n v="67"/>
    <x v="2"/>
    <x v="1"/>
    <n v="1"/>
    <m/>
  </r>
  <r>
    <n v="14284"/>
    <s v="Single"/>
    <x v="0"/>
    <n v="60000"/>
    <x v="2"/>
    <n v="0"/>
    <s v="Partial College"/>
    <s v="Professional"/>
    <s v="No"/>
    <n v="2"/>
    <x v="1"/>
    <x v="2"/>
    <n v="32"/>
    <x v="1"/>
    <x v="1"/>
    <n v="1"/>
    <m/>
  </r>
  <r>
    <n v="11287"/>
    <s v="Married"/>
    <x v="0"/>
    <n v="70000"/>
    <x v="2"/>
    <n v="5"/>
    <s v="Partial College"/>
    <s v="Professional"/>
    <s v="No"/>
    <n v="3"/>
    <x v="2"/>
    <x v="2"/>
    <n v="45"/>
    <x v="0"/>
    <x v="0"/>
    <b v="0"/>
    <m/>
  </r>
  <r>
    <n v="17531"/>
    <s v="Married"/>
    <x v="0"/>
    <n v="60000"/>
    <x v="2"/>
    <n v="2"/>
    <s v="High School"/>
    <s v="Professional"/>
    <s v="No"/>
    <n v="2"/>
    <x v="2"/>
    <x v="2"/>
    <n v="50"/>
    <x v="0"/>
    <x v="0"/>
    <b v="0"/>
    <m/>
  </r>
  <r>
    <n v="12964"/>
    <s v="Married"/>
    <x v="0"/>
    <n v="70000"/>
    <x v="2"/>
    <n v="1"/>
    <s v="Partial College"/>
    <s v="Skilled Manual"/>
    <s v="Yes"/>
    <n v="1"/>
    <x v="0"/>
    <x v="2"/>
    <n v="44"/>
    <x v="0"/>
    <x v="0"/>
    <b v="0"/>
    <m/>
  </r>
  <r>
    <n v="24643"/>
    <s v="Single"/>
    <x v="1"/>
    <n v="60000"/>
    <x v="2"/>
    <n v="4"/>
    <s v="Bachelors"/>
    <s v="Management"/>
    <s v="Yes"/>
    <n v="2"/>
    <x v="4"/>
    <x v="2"/>
    <n v="63"/>
    <x v="2"/>
    <x v="0"/>
    <b v="0"/>
    <m/>
  </r>
  <r>
    <n v="21599"/>
    <s v="Married"/>
    <x v="1"/>
    <n v="60000"/>
    <x v="2"/>
    <n v="1"/>
    <s v="Graduate Degree"/>
    <s v="Professional"/>
    <s v="Yes"/>
    <n v="0"/>
    <x v="3"/>
    <x v="2"/>
    <n v="36"/>
    <x v="1"/>
    <x v="1"/>
    <n v="1"/>
    <m/>
  </r>
  <r>
    <n v="11890"/>
    <s v="Married"/>
    <x v="1"/>
    <n v="70000"/>
    <x v="2"/>
    <n v="5"/>
    <s v="Graduate Degree"/>
    <s v="Professional"/>
    <s v="Yes"/>
    <n v="1"/>
    <x v="0"/>
    <x v="2"/>
    <n v="47"/>
    <x v="0"/>
    <x v="0"/>
    <b v="0"/>
    <m/>
  </r>
  <r>
    <n v="17864"/>
    <s v="Married"/>
    <x v="1"/>
    <n v="60000"/>
    <x v="2"/>
    <n v="1"/>
    <s v="Partial College"/>
    <s v="Skilled Manual"/>
    <s v="Yes"/>
    <n v="1"/>
    <x v="3"/>
    <x v="2"/>
    <n v="46"/>
    <x v="0"/>
    <x v="1"/>
    <n v="1"/>
    <m/>
  </r>
  <r>
    <n v="14592"/>
    <s v="Married"/>
    <x v="1"/>
    <n v="60000"/>
    <x v="2"/>
    <n v="0"/>
    <s v="Graduate Degree"/>
    <s v="Professional"/>
    <s v="Yes"/>
    <n v="0"/>
    <x v="0"/>
    <x v="2"/>
    <n v="40"/>
    <x v="0"/>
    <x v="0"/>
    <b v="0"/>
    <m/>
  </r>
  <r>
    <n v="22227"/>
    <s v="Married"/>
    <x v="1"/>
    <n v="60000"/>
    <x v="2"/>
    <n v="2"/>
    <s v="High School"/>
    <s v="Professional"/>
    <s v="Yes"/>
    <n v="2"/>
    <x v="2"/>
    <x v="2"/>
    <n v="50"/>
    <x v="0"/>
    <x v="0"/>
    <b v="0"/>
    <m/>
  </r>
  <r>
    <n v="21471"/>
    <s v="Married"/>
    <x v="0"/>
    <n v="70000"/>
    <x v="2"/>
    <n v="2"/>
    <s v="Partial College"/>
    <s v="Professional"/>
    <s v="Yes"/>
    <n v="1"/>
    <x v="4"/>
    <x v="2"/>
    <n v="59"/>
    <x v="0"/>
    <x v="0"/>
    <b v="0"/>
    <m/>
  </r>
  <r>
    <n v="22252"/>
    <s v="Single"/>
    <x v="1"/>
    <n v="60000"/>
    <x v="2"/>
    <n v="1"/>
    <s v="Graduate Degree"/>
    <s v="Professional"/>
    <s v="Yes"/>
    <n v="0"/>
    <x v="3"/>
    <x v="2"/>
    <n v="36"/>
    <x v="1"/>
    <x v="1"/>
    <n v="1"/>
    <m/>
  </r>
  <r>
    <n v="11817"/>
    <s v="Single"/>
    <x v="1"/>
    <n v="70000"/>
    <x v="2"/>
    <n v="4"/>
    <s v="Graduate Degree"/>
    <s v="Professional"/>
    <s v="Yes"/>
    <n v="0"/>
    <x v="3"/>
    <x v="2"/>
    <n v="35"/>
    <x v="1"/>
    <x v="1"/>
    <n v="1"/>
    <m/>
  </r>
  <r>
    <n v="13760"/>
    <s v="Married"/>
    <x v="0"/>
    <n v="60000"/>
    <x v="2"/>
    <n v="4"/>
    <s v="Graduate Degree"/>
    <s v="Skilled Manual"/>
    <s v="No"/>
    <n v="0"/>
    <x v="0"/>
    <x v="2"/>
    <n v="47"/>
    <x v="0"/>
    <x v="0"/>
    <b v="0"/>
    <m/>
  </r>
  <r>
    <n v="21770"/>
    <s v="Married"/>
    <x v="0"/>
    <n v="60000"/>
    <x v="2"/>
    <n v="4"/>
    <s v="Bachelors"/>
    <s v="Management"/>
    <s v="Yes"/>
    <n v="2"/>
    <x v="4"/>
    <x v="2"/>
    <n v="60"/>
    <x v="2"/>
    <x v="0"/>
    <b v="0"/>
    <m/>
  </r>
  <r>
    <n v="11165"/>
    <s v="Married"/>
    <x v="1"/>
    <n v="60000"/>
    <x v="2"/>
    <n v="0"/>
    <s v="Partial College"/>
    <s v="Skilled Manual"/>
    <s v="No"/>
    <n v="1"/>
    <x v="1"/>
    <x v="2"/>
    <n v="33"/>
    <x v="1"/>
    <x v="0"/>
    <b v="0"/>
    <m/>
  </r>
  <r>
    <n v="29133"/>
    <s v="Single"/>
    <x v="1"/>
    <n v="60000"/>
    <x v="2"/>
    <n v="4"/>
    <s v="Bachelors"/>
    <s v="Skilled Manual"/>
    <s v="No"/>
    <n v="2"/>
    <x v="0"/>
    <x v="2"/>
    <n v="42"/>
    <x v="0"/>
    <x v="0"/>
    <b v="0"/>
    <m/>
  </r>
  <r>
    <n v="27673"/>
    <s v="Single"/>
    <x v="1"/>
    <n v="60000"/>
    <x v="2"/>
    <n v="3"/>
    <s v="Graduate Degree"/>
    <s v="Management"/>
    <s v="Yes"/>
    <n v="2"/>
    <x v="2"/>
    <x v="2"/>
    <n v="53"/>
    <x v="0"/>
    <x v="1"/>
    <n v="1"/>
    <m/>
  </r>
  <r>
    <n v="11699"/>
    <s v="Single"/>
    <x v="0"/>
    <n v="60000"/>
    <x v="2"/>
    <n v="0"/>
    <s v="Bachelors"/>
    <s v="Skilled Manual"/>
    <s v="No"/>
    <n v="2"/>
    <x v="0"/>
    <x v="2"/>
    <n v="30"/>
    <x v="1"/>
    <x v="0"/>
    <b v="0"/>
    <m/>
  </r>
  <r>
    <n v="23376"/>
    <s v="Married"/>
    <x v="0"/>
    <n v="70000"/>
    <x v="2"/>
    <n v="1"/>
    <s v="Bachelors"/>
    <s v="Professional"/>
    <s v="Yes"/>
    <n v="1"/>
    <x v="3"/>
    <x v="2"/>
    <n v="44"/>
    <x v="0"/>
    <x v="1"/>
    <n v="1"/>
    <m/>
  </r>
  <r>
    <n v="25970"/>
    <s v="Single"/>
    <x v="1"/>
    <n v="60000"/>
    <x v="2"/>
    <n v="4"/>
    <s v="Bachelors"/>
    <s v="Skilled Manual"/>
    <s v="No"/>
    <n v="2"/>
    <x v="0"/>
    <x v="2"/>
    <n v="41"/>
    <x v="0"/>
    <x v="1"/>
    <n v="1"/>
    <m/>
  </r>
  <r>
    <n v="29112"/>
    <s v="Single"/>
    <x v="0"/>
    <n v="60000"/>
    <x v="2"/>
    <n v="0"/>
    <s v="Partial College"/>
    <s v="Professional"/>
    <s v="No"/>
    <n v="2"/>
    <x v="1"/>
    <x v="2"/>
    <n v="30"/>
    <x v="1"/>
    <x v="0"/>
    <b v="0"/>
    <m/>
  </r>
  <r>
    <n v="16795"/>
    <s v="Married"/>
    <x v="1"/>
    <n v="70000"/>
    <x v="2"/>
    <n v="4"/>
    <s v="Bachelors"/>
    <s v="Management"/>
    <s v="Yes"/>
    <n v="1"/>
    <x v="1"/>
    <x v="2"/>
    <n v="59"/>
    <x v="0"/>
    <x v="0"/>
    <b v="0"/>
    <m/>
  </r>
  <r>
    <n v="11199"/>
    <s v="Married"/>
    <x v="1"/>
    <n v="70000"/>
    <x v="2"/>
    <n v="4"/>
    <s v="Bachelors"/>
    <s v="Management"/>
    <s v="Yes"/>
    <n v="1"/>
    <x v="4"/>
    <x v="2"/>
    <n v="59"/>
    <x v="0"/>
    <x v="0"/>
    <b v="0"/>
    <m/>
  </r>
  <r>
    <n v="20296"/>
    <s v="Single"/>
    <x v="1"/>
    <n v="60000"/>
    <x v="2"/>
    <n v="0"/>
    <s v="Partial College"/>
    <s v="Skilled Manual"/>
    <s v="No"/>
    <n v="1"/>
    <x v="1"/>
    <x v="2"/>
    <n v="33"/>
    <x v="1"/>
    <x v="1"/>
    <n v="1"/>
    <m/>
  </r>
  <r>
    <n v="17546"/>
    <s v="Married"/>
    <x v="1"/>
    <n v="70000"/>
    <x v="2"/>
    <n v="1"/>
    <s v="Partial College"/>
    <s v="Skilled Manual"/>
    <s v="Yes"/>
    <n v="1"/>
    <x v="0"/>
    <x v="2"/>
    <n v="44"/>
    <x v="0"/>
    <x v="1"/>
    <n v="1"/>
    <m/>
  </r>
  <r>
    <n v="18069"/>
    <s v="Married"/>
    <x v="0"/>
    <n v="70000"/>
    <x v="2"/>
    <n v="5"/>
    <s v="Bachelors"/>
    <s v="Management"/>
    <s v="Yes"/>
    <n v="4"/>
    <x v="4"/>
    <x v="2"/>
    <n v="60"/>
    <x v="2"/>
    <x v="0"/>
    <b v="0"/>
    <m/>
  </r>
  <r>
    <n v="23712"/>
    <s v="Single"/>
    <x v="1"/>
    <n v="70000"/>
    <x v="2"/>
    <n v="2"/>
    <s v="Bachelors"/>
    <s v="Management"/>
    <s v="Yes"/>
    <n v="1"/>
    <x v="4"/>
    <x v="2"/>
    <n v="59"/>
    <x v="0"/>
    <x v="0"/>
    <b v="0"/>
    <m/>
  </r>
  <r>
    <n v="23358"/>
    <s v="Married"/>
    <x v="0"/>
    <n v="60000"/>
    <x v="2"/>
    <n v="0"/>
    <s v="High School"/>
    <s v="Professional"/>
    <s v="Yes"/>
    <n v="2"/>
    <x v="2"/>
    <x v="2"/>
    <n v="32"/>
    <x v="1"/>
    <x v="1"/>
    <n v="1"/>
    <m/>
  </r>
  <r>
    <n v="20518"/>
    <s v="Married"/>
    <x v="1"/>
    <n v="70000"/>
    <x v="2"/>
    <n v="2"/>
    <s v="Partial College"/>
    <s v="Professional"/>
    <s v="Yes"/>
    <n v="1"/>
    <x v="4"/>
    <x v="2"/>
    <n v="58"/>
    <x v="0"/>
    <x v="0"/>
    <b v="0"/>
    <m/>
  </r>
  <r>
    <n v="11669"/>
    <s v="Single"/>
    <x v="1"/>
    <n v="70000"/>
    <x v="2"/>
    <n v="2"/>
    <s v="Bachelors"/>
    <s v="Skilled Manual"/>
    <s v="Yes"/>
    <n v="1"/>
    <x v="3"/>
    <x v="2"/>
    <n v="38"/>
    <x v="1"/>
    <x v="0"/>
    <b v="0"/>
    <m/>
  </r>
  <r>
    <n v="27090"/>
    <s v="Married"/>
    <x v="1"/>
    <n v="60000"/>
    <x v="2"/>
    <n v="1"/>
    <s v="Graduate Degree"/>
    <s v="Professional"/>
    <s v="Yes"/>
    <n v="0"/>
    <x v="3"/>
    <x v="2"/>
    <n v="37"/>
    <x v="1"/>
    <x v="1"/>
    <n v="1"/>
    <m/>
  </r>
  <r>
    <n v="26327"/>
    <s v="Married"/>
    <x v="0"/>
    <n v="70000"/>
    <x v="2"/>
    <n v="4"/>
    <s v="Graduate Degree"/>
    <s v="Professional"/>
    <s v="Yes"/>
    <n v="0"/>
    <x v="3"/>
    <x v="2"/>
    <n v="36"/>
    <x v="1"/>
    <x v="1"/>
    <n v="1"/>
    <m/>
  </r>
  <r>
    <n v="26341"/>
    <s v="Married"/>
    <x v="1"/>
    <n v="70000"/>
    <x v="2"/>
    <n v="5"/>
    <s v="Graduate Degree"/>
    <s v="Professional"/>
    <s v="Yes"/>
    <n v="2"/>
    <x v="0"/>
    <x v="2"/>
    <n v="37"/>
    <x v="1"/>
    <x v="0"/>
    <b v="0"/>
    <m/>
  </r>
  <r>
    <n v="14493"/>
    <s v="Single"/>
    <x v="1"/>
    <n v="70000"/>
    <x v="2"/>
    <n v="3"/>
    <s v="Graduate Degree"/>
    <s v="Management"/>
    <s v="No"/>
    <n v="2"/>
    <x v="1"/>
    <x v="2"/>
    <n v="53"/>
    <x v="0"/>
    <x v="0"/>
    <b v="0"/>
    <m/>
  </r>
  <r>
    <n v="16144"/>
    <s v="Married"/>
    <x v="0"/>
    <n v="70000"/>
    <x v="2"/>
    <n v="1"/>
    <s v="Graduate Degree"/>
    <s v="Professional"/>
    <s v="Yes"/>
    <n v="1"/>
    <x v="0"/>
    <x v="2"/>
    <n v="46"/>
    <x v="0"/>
    <x v="1"/>
    <n v="1"/>
    <m/>
  </r>
  <r>
    <n v="11886"/>
    <s v="Married"/>
    <x v="1"/>
    <n v="60000"/>
    <x v="2"/>
    <n v="3"/>
    <s v="Bachelors"/>
    <s v="Professional"/>
    <s v="Yes"/>
    <n v="1"/>
    <x v="0"/>
    <x v="2"/>
    <n v="48"/>
    <x v="0"/>
    <x v="1"/>
    <n v="1"/>
    <m/>
  </r>
  <r>
    <n v="24324"/>
    <s v="Single"/>
    <x v="1"/>
    <n v="60000"/>
    <x v="2"/>
    <n v="4"/>
    <s v="Bachelors"/>
    <s v="Skilled Manual"/>
    <s v="Yes"/>
    <n v="2"/>
    <x v="3"/>
    <x v="2"/>
    <n v="41"/>
    <x v="0"/>
    <x v="1"/>
    <n v="1"/>
    <m/>
  </r>
  <r>
    <n v="22220"/>
    <s v="Married"/>
    <x v="0"/>
    <n v="60000"/>
    <x v="2"/>
    <n v="2"/>
    <s v="High School"/>
    <s v="Professional"/>
    <s v="No"/>
    <n v="2"/>
    <x v="1"/>
    <x v="2"/>
    <n v="49"/>
    <x v="0"/>
    <x v="1"/>
    <n v="1"/>
    <m/>
  </r>
  <r>
    <n v="26625"/>
    <s v="Single"/>
    <x v="1"/>
    <n v="60000"/>
    <x v="2"/>
    <n v="0"/>
    <s v="Graduate Degree"/>
    <s v="Professional"/>
    <s v="Yes"/>
    <n v="1"/>
    <x v="3"/>
    <x v="2"/>
    <n v="38"/>
    <x v="1"/>
    <x v="1"/>
    <n v="1"/>
    <m/>
  </r>
  <r>
    <n v="18504"/>
    <s v="Married"/>
    <x v="0"/>
    <n v="70000"/>
    <x v="2"/>
    <n v="2"/>
    <s v="Partial High School"/>
    <s v="Skilled Manual"/>
    <s v="No"/>
    <n v="2"/>
    <x v="1"/>
    <x v="2"/>
    <n v="49"/>
    <x v="0"/>
    <x v="0"/>
    <b v="0"/>
    <m/>
  </r>
  <r>
    <n v="11225"/>
    <s v="Married"/>
    <x v="1"/>
    <n v="60000"/>
    <x v="2"/>
    <n v="2"/>
    <s v="Partial College"/>
    <s v="Professional"/>
    <s v="Yes"/>
    <n v="1"/>
    <x v="4"/>
    <x v="2"/>
    <n v="55"/>
    <x v="0"/>
    <x v="0"/>
    <b v="0"/>
    <m/>
  </r>
  <r>
    <n v="20535"/>
    <s v="Married"/>
    <x v="1"/>
    <n v="70000"/>
    <x v="2"/>
    <n v="4"/>
    <s v="Partial College"/>
    <s v="Professional"/>
    <s v="Yes"/>
    <n v="1"/>
    <x v="4"/>
    <x v="2"/>
    <n v="56"/>
    <x v="0"/>
    <x v="0"/>
    <b v="0"/>
    <m/>
  </r>
  <r>
    <n v="12452"/>
    <s v="Married"/>
    <x v="0"/>
    <n v="60000"/>
    <x v="2"/>
    <n v="4"/>
    <s v="Graduate Degree"/>
    <s v="Skilled Manual"/>
    <s v="Yes"/>
    <n v="0"/>
    <x v="1"/>
    <x v="2"/>
    <n v="47"/>
    <x v="0"/>
    <x v="1"/>
    <n v="1"/>
    <m/>
  </r>
  <r>
    <n v="28043"/>
    <s v="Married"/>
    <x v="1"/>
    <n v="60000"/>
    <x v="2"/>
    <n v="2"/>
    <s v="Bachelors"/>
    <s v="Management"/>
    <s v="Yes"/>
    <n v="0"/>
    <x v="4"/>
    <x v="2"/>
    <n v="56"/>
    <x v="0"/>
    <x v="0"/>
    <b v="0"/>
    <m/>
  </r>
  <r>
    <n v="12957"/>
    <s v="Single"/>
    <x v="1"/>
    <n v="70000"/>
    <x v="2"/>
    <n v="1"/>
    <s v="Bachelors"/>
    <s v="Professional"/>
    <s v="No"/>
    <n v="1"/>
    <x v="0"/>
    <x v="2"/>
    <n v="44"/>
    <x v="0"/>
    <x v="0"/>
    <b v="0"/>
    <m/>
  </r>
  <r>
    <n v="20514"/>
    <s v="Married"/>
    <x v="1"/>
    <n v="70000"/>
    <x v="2"/>
    <n v="2"/>
    <s v="Partial College"/>
    <s v="Professional"/>
    <s v="Yes"/>
    <n v="1"/>
    <x v="3"/>
    <x v="2"/>
    <n v="59"/>
    <x v="0"/>
    <x v="0"/>
    <b v="0"/>
    <m/>
  </r>
  <r>
    <n v="11801"/>
    <s v="Married"/>
    <x v="0"/>
    <n v="60000"/>
    <x v="2"/>
    <n v="1"/>
    <s v="Graduate Degree"/>
    <s v="Professional"/>
    <s v="Yes"/>
    <n v="0"/>
    <x v="3"/>
    <x v="2"/>
    <n v="36"/>
    <x v="1"/>
    <x v="0"/>
    <b v="0"/>
    <m/>
  </r>
  <r>
    <n v="22211"/>
    <s v="Married"/>
    <x v="0"/>
    <n v="60000"/>
    <x v="2"/>
    <n v="0"/>
    <s v="Partial College"/>
    <s v="Professional"/>
    <s v="Yes"/>
    <n v="2"/>
    <x v="2"/>
    <x v="2"/>
    <n v="32"/>
    <x v="1"/>
    <x v="0"/>
    <b v="0"/>
    <m/>
  </r>
  <r>
    <n v="27441"/>
    <s v="Married"/>
    <x v="0"/>
    <n v="60000"/>
    <x v="2"/>
    <n v="3"/>
    <s v="High School"/>
    <s v="Professional"/>
    <s v="No"/>
    <n v="2"/>
    <x v="3"/>
    <x v="2"/>
    <n v="53"/>
    <x v="0"/>
    <x v="0"/>
    <b v="0"/>
    <m/>
  </r>
  <r>
    <n v="23217"/>
    <s v="Single"/>
    <x v="1"/>
    <n v="60000"/>
    <x v="2"/>
    <n v="3"/>
    <s v="Graduate Degree"/>
    <s v="Professional"/>
    <s v="Yes"/>
    <n v="0"/>
    <x v="3"/>
    <x v="2"/>
    <n v="43"/>
    <x v="0"/>
    <x v="1"/>
    <n v="1"/>
    <m/>
  </r>
  <r>
    <n v="13216"/>
    <s v="Married"/>
    <x v="1"/>
    <n v="60000"/>
    <x v="2"/>
    <n v="5"/>
    <s v="Bachelors"/>
    <s v="Management"/>
    <s v="Yes"/>
    <n v="3"/>
    <x v="4"/>
    <x v="2"/>
    <n v="59"/>
    <x v="0"/>
    <x v="0"/>
    <b v="0"/>
    <m/>
  </r>
  <r>
    <n v="25908"/>
    <s v="Married"/>
    <x v="1"/>
    <n v="60000"/>
    <x v="2"/>
    <n v="0"/>
    <s v="Partial College"/>
    <s v="Skilled Manual"/>
    <s v="No"/>
    <n v="1"/>
    <x v="1"/>
    <x v="2"/>
    <n v="27"/>
    <x v="1"/>
    <x v="0"/>
    <b v="0"/>
    <m/>
  </r>
  <r>
    <n v="16753"/>
    <s v="Single"/>
    <x v="1"/>
    <n v="70000"/>
    <x v="2"/>
    <n v="0"/>
    <s v="Partial College"/>
    <s v="Skilled Manual"/>
    <s v="Yes"/>
    <n v="2"/>
    <x v="2"/>
    <x v="2"/>
    <n v="34"/>
    <x v="1"/>
    <x v="1"/>
    <n v="1"/>
    <m/>
  </r>
  <r>
    <n v="24979"/>
    <s v="Married"/>
    <x v="1"/>
    <n v="60000"/>
    <x v="2"/>
    <n v="2"/>
    <s v="Partial College"/>
    <s v="Professional"/>
    <s v="Yes"/>
    <n v="2"/>
    <x v="3"/>
    <x v="2"/>
    <n v="57"/>
    <x v="0"/>
    <x v="1"/>
    <n v="1"/>
    <m/>
  </r>
  <r>
    <n v="17699"/>
    <s v="Married"/>
    <x v="0"/>
    <n v="60000"/>
    <x v="2"/>
    <n v="1"/>
    <s v="Graduate Degree"/>
    <s v="Skilled Manual"/>
    <s v="No"/>
    <n v="0"/>
    <x v="0"/>
    <x v="2"/>
    <n v="55"/>
    <x v="0"/>
    <x v="0"/>
    <b v="0"/>
    <m/>
  </r>
  <r>
    <n v="11540"/>
    <s v="Single"/>
    <x v="0"/>
    <n v="60000"/>
    <x v="2"/>
    <n v="4"/>
    <s v="Graduate Degree"/>
    <s v="Skilled Manual"/>
    <s v="Yes"/>
    <n v="0"/>
    <x v="1"/>
    <x v="2"/>
    <n v="47"/>
    <x v="0"/>
    <x v="1"/>
    <n v="1"/>
    <m/>
  </r>
  <r>
    <n v="11783"/>
    <s v="Married"/>
    <x v="1"/>
    <n v="60000"/>
    <x v="2"/>
    <n v="1"/>
    <s v="Graduate Degree"/>
    <s v="Skilled Manual"/>
    <s v="Yes"/>
    <n v="0"/>
    <x v="0"/>
    <x v="2"/>
    <n v="34"/>
    <x v="1"/>
    <x v="0"/>
    <b v="0"/>
    <m/>
  </r>
  <r>
    <n v="29030"/>
    <s v="Married"/>
    <x v="0"/>
    <n v="70000"/>
    <x v="2"/>
    <n v="2"/>
    <s v="Partial High School"/>
    <s v="Skilled Manual"/>
    <s v="Yes"/>
    <n v="2"/>
    <x v="4"/>
    <x v="2"/>
    <n v="54"/>
    <x v="0"/>
    <x v="0"/>
    <b v="0"/>
    <m/>
  </r>
  <r>
    <n v="26490"/>
    <s v="Single"/>
    <x v="0"/>
    <n v="70000"/>
    <x v="2"/>
    <n v="2"/>
    <s v="Bachelors"/>
    <s v="Management"/>
    <s v="No"/>
    <n v="1"/>
    <x v="3"/>
    <x v="2"/>
    <n v="59"/>
    <x v="0"/>
    <x v="1"/>
    <n v="1"/>
    <m/>
  </r>
  <r>
    <n v="18105"/>
    <s v="Married"/>
    <x v="1"/>
    <n v="60000"/>
    <x v="2"/>
    <n v="2"/>
    <s v="Partial College"/>
    <s v="Professional"/>
    <s v="Yes"/>
    <n v="1"/>
    <x v="4"/>
    <x v="2"/>
    <n v="55"/>
    <x v="0"/>
    <x v="0"/>
    <b v="0"/>
    <m/>
  </r>
  <r>
    <n v="16112"/>
    <s v="Single"/>
    <x v="0"/>
    <n v="70000"/>
    <x v="2"/>
    <n v="4"/>
    <s v="Bachelors"/>
    <s v="Professional"/>
    <s v="Yes"/>
    <n v="2"/>
    <x v="3"/>
    <x v="2"/>
    <n v="43"/>
    <x v="0"/>
    <x v="1"/>
    <n v="1"/>
    <m/>
  </r>
  <r>
    <n v="20698"/>
    <s v="Married"/>
    <x v="0"/>
    <n v="60000"/>
    <x v="2"/>
    <n v="4"/>
    <s v="Bachelors"/>
    <s v="Skilled Manual"/>
    <s v="Yes"/>
    <n v="3"/>
    <x v="2"/>
    <x v="2"/>
    <n v="42"/>
    <x v="0"/>
    <x v="0"/>
    <b v="0"/>
    <m/>
  </r>
  <r>
    <n v="28031"/>
    <s v="Single"/>
    <x v="1"/>
    <n v="70000"/>
    <x v="2"/>
    <n v="2"/>
    <s v="Bachelors"/>
    <s v="Management"/>
    <s v="No"/>
    <n v="1"/>
    <x v="3"/>
    <x v="2"/>
    <n v="59"/>
    <x v="0"/>
    <x v="1"/>
    <n v="1"/>
    <m/>
  </r>
  <r>
    <n v="22221"/>
    <s v="Married"/>
    <x v="0"/>
    <n v="60000"/>
    <x v="2"/>
    <n v="2"/>
    <s v="High School"/>
    <s v="Professional"/>
    <s v="No"/>
    <n v="2"/>
    <x v="1"/>
    <x v="2"/>
    <n v="48"/>
    <x v="0"/>
    <x v="1"/>
    <n v="1"/>
    <m/>
  </r>
  <r>
    <n v="21306"/>
    <s v="Single"/>
    <x v="0"/>
    <n v="60000"/>
    <x v="2"/>
    <n v="2"/>
    <s v="High School"/>
    <s v="Professional"/>
    <s v="Yes"/>
    <n v="2"/>
    <x v="2"/>
    <x v="2"/>
    <n v="51"/>
    <x v="0"/>
    <x v="0"/>
    <b v="0"/>
    <m/>
  </r>
  <r>
    <n v="13382"/>
    <s v="Married"/>
    <x v="0"/>
    <n v="70000"/>
    <x v="2"/>
    <n v="5"/>
    <s v="Partial College"/>
    <s v="Professional"/>
    <s v="Yes"/>
    <n v="2"/>
    <x v="1"/>
    <x v="2"/>
    <n v="57"/>
    <x v="0"/>
    <x v="1"/>
    <n v="1"/>
    <m/>
  </r>
  <r>
    <n v="20310"/>
    <s v="Single"/>
    <x v="0"/>
    <n v="60000"/>
    <x v="2"/>
    <n v="0"/>
    <s v="Partial College"/>
    <s v="Skilled Manual"/>
    <s v="Yes"/>
    <n v="1"/>
    <x v="2"/>
    <x v="2"/>
    <n v="27"/>
    <x v="1"/>
    <x v="1"/>
    <n v="1"/>
    <m/>
  </r>
  <r>
    <n v="15532"/>
    <s v="Single"/>
    <x v="0"/>
    <n v="60000"/>
    <x v="2"/>
    <n v="4"/>
    <s v="Bachelors"/>
    <s v="Professional"/>
    <s v="Yes"/>
    <n v="2"/>
    <x v="3"/>
    <x v="2"/>
    <n v="43"/>
    <x v="0"/>
    <x v="1"/>
    <n v="1"/>
    <m/>
  </r>
  <r>
    <n v="11255"/>
    <s v="Married"/>
    <x v="0"/>
    <n v="70000"/>
    <x v="2"/>
    <n v="4"/>
    <s v="Graduate Degree"/>
    <s v="Management"/>
    <s v="Yes"/>
    <n v="2"/>
    <x v="2"/>
    <x v="2"/>
    <n v="73"/>
    <x v="2"/>
    <x v="0"/>
    <b v="0"/>
    <m/>
  </r>
  <r>
    <n v="21417"/>
    <s v="Single"/>
    <x v="1"/>
    <n v="60000"/>
    <x v="2"/>
    <n v="0"/>
    <s v="Partial College"/>
    <s v="Professional"/>
    <s v="No"/>
    <n v="2"/>
    <x v="1"/>
    <x v="2"/>
    <n v="32"/>
    <x v="1"/>
    <x v="1"/>
    <n v="1"/>
    <m/>
  </r>
  <r>
    <n v="20376"/>
    <s v="Single"/>
    <x v="1"/>
    <n v="70000"/>
    <x v="2"/>
    <n v="3"/>
    <s v="Graduate Degree"/>
    <s v="Management"/>
    <s v="Yes"/>
    <n v="2"/>
    <x v="2"/>
    <x v="2"/>
    <n v="52"/>
    <x v="0"/>
    <x v="1"/>
    <n v="1"/>
    <m/>
  </r>
  <r>
    <n v="25954"/>
    <s v="Married"/>
    <x v="0"/>
    <n v="60000"/>
    <x v="2"/>
    <n v="0"/>
    <s v="Partial College"/>
    <s v="Skilled Manual"/>
    <s v="No"/>
    <n v="2"/>
    <x v="1"/>
    <x v="2"/>
    <n v="31"/>
    <x v="1"/>
    <x v="0"/>
    <b v="0"/>
    <m/>
  </r>
  <r>
    <n v="15749"/>
    <s v="Single"/>
    <x v="1"/>
    <n v="70000"/>
    <x v="2"/>
    <n v="4"/>
    <s v="Bachelors"/>
    <s v="Management"/>
    <s v="Yes"/>
    <n v="2"/>
    <x v="4"/>
    <x v="2"/>
    <n v="61"/>
    <x v="2"/>
    <x v="0"/>
    <b v="0"/>
    <m/>
  </r>
  <r>
    <n v="25899"/>
    <s v="Married"/>
    <x v="1"/>
    <n v="70000"/>
    <x v="2"/>
    <n v="2"/>
    <s v="High School"/>
    <s v="Professional"/>
    <s v="Yes"/>
    <n v="2"/>
    <x v="4"/>
    <x v="2"/>
    <n v="53"/>
    <x v="0"/>
    <x v="0"/>
    <b v="0"/>
    <m/>
  </r>
  <r>
    <n v="13351"/>
    <s v="Single"/>
    <x v="1"/>
    <n v="70000"/>
    <x v="2"/>
    <n v="4"/>
    <s v="Bachelors"/>
    <s v="Management"/>
    <s v="Yes"/>
    <n v="2"/>
    <x v="1"/>
    <x v="2"/>
    <n v="62"/>
    <x v="2"/>
    <x v="1"/>
    <n v="1"/>
    <m/>
  </r>
  <r>
    <n v="21660"/>
    <s v="Married"/>
    <x v="1"/>
    <n v="60000"/>
    <x v="2"/>
    <n v="3"/>
    <s v="Graduate Degree"/>
    <s v="Professional"/>
    <s v="Yes"/>
    <n v="0"/>
    <x v="3"/>
    <x v="2"/>
    <n v="43"/>
    <x v="0"/>
    <x v="1"/>
    <n v="1"/>
    <m/>
  </r>
  <r>
    <n v="17012"/>
    <s v="Married"/>
    <x v="1"/>
    <n v="60000"/>
    <x v="2"/>
    <n v="3"/>
    <s v="Graduate Degree"/>
    <s v="Professional"/>
    <s v="Yes"/>
    <n v="0"/>
    <x v="3"/>
    <x v="2"/>
    <n v="42"/>
    <x v="0"/>
    <x v="1"/>
    <n v="1"/>
    <m/>
  </r>
  <r>
    <n v="26582"/>
    <s v="Married"/>
    <x v="0"/>
    <n v="60000"/>
    <x v="2"/>
    <n v="0"/>
    <s v="Partial College"/>
    <s v="Skilled Manual"/>
    <s v="Yes"/>
    <n v="2"/>
    <x v="2"/>
    <x v="2"/>
    <n v="33"/>
    <x v="1"/>
    <x v="1"/>
    <n v="1"/>
    <m/>
  </r>
  <r>
    <n v="23041"/>
    <s v="Single"/>
    <x v="1"/>
    <n v="70000"/>
    <x v="2"/>
    <n v="4"/>
    <s v="High School"/>
    <s v="Professional"/>
    <s v="Yes"/>
    <n v="0"/>
    <x v="2"/>
    <x v="2"/>
    <n v="50"/>
    <x v="0"/>
    <x v="1"/>
    <n v="1"/>
    <m/>
  </r>
  <r>
    <n v="24433"/>
    <s v="Married"/>
    <x v="0"/>
    <n v="70000"/>
    <x v="2"/>
    <n v="3"/>
    <s v="High School"/>
    <s v="Professional"/>
    <s v="No"/>
    <n v="1"/>
    <x v="1"/>
    <x v="2"/>
    <n v="52"/>
    <x v="0"/>
    <x v="1"/>
    <n v="1"/>
    <m/>
  </r>
  <r>
    <n v="15501"/>
    <s v="Married"/>
    <x v="0"/>
    <n v="70000"/>
    <x v="2"/>
    <n v="4"/>
    <s v="Graduate Degree"/>
    <s v="Professional"/>
    <s v="Yes"/>
    <n v="0"/>
    <x v="3"/>
    <x v="2"/>
    <n v="36"/>
    <x v="1"/>
    <x v="1"/>
    <n v="1"/>
    <m/>
  </r>
  <r>
    <n v="18411"/>
    <s v="Married"/>
    <x v="0"/>
    <n v="60000"/>
    <x v="2"/>
    <n v="2"/>
    <s v="High School"/>
    <s v="Professional"/>
    <s v="No"/>
    <n v="2"/>
    <x v="2"/>
    <x v="2"/>
    <n v="51"/>
    <x v="0"/>
    <x v="0"/>
    <b v="0"/>
    <m/>
  </r>
  <r>
    <n v="19163"/>
    <s v="Married"/>
    <x v="1"/>
    <n v="70000"/>
    <x v="2"/>
    <n v="4"/>
    <s v="Bachelors"/>
    <s v="Professional"/>
    <s v="Yes"/>
    <n v="2"/>
    <x v="0"/>
    <x v="2"/>
    <n v="43"/>
    <x v="0"/>
    <x v="1"/>
    <n v="1"/>
    <m/>
  </r>
  <r>
    <n v="18572"/>
    <s v="Married"/>
    <x v="1"/>
    <n v="60000"/>
    <x v="2"/>
    <n v="0"/>
    <s v="Graduate Degree"/>
    <s v="Professional"/>
    <s v="Yes"/>
    <n v="0"/>
    <x v="0"/>
    <x v="2"/>
    <n v="39"/>
    <x v="1"/>
    <x v="0"/>
    <b v="0"/>
    <m/>
  </r>
  <r>
    <n v="27540"/>
    <s v="Single"/>
    <x v="1"/>
    <n v="70000"/>
    <x v="2"/>
    <n v="0"/>
    <s v="Bachelors"/>
    <s v="Professional"/>
    <s v="No"/>
    <n v="1"/>
    <x v="0"/>
    <x v="2"/>
    <n v="37"/>
    <x v="1"/>
    <x v="1"/>
    <n v="1"/>
    <m/>
  </r>
  <r>
    <n v="19889"/>
    <s v="Single"/>
    <x v="1"/>
    <n v="70000"/>
    <x v="2"/>
    <n v="2"/>
    <s v="Partial High School"/>
    <s v="Skilled Manual"/>
    <s v="No"/>
    <n v="2"/>
    <x v="3"/>
    <x v="2"/>
    <n v="54"/>
    <x v="0"/>
    <x v="1"/>
    <n v="1"/>
    <m/>
  </r>
  <r>
    <n v="12922"/>
    <s v="Single"/>
    <x v="1"/>
    <n v="60000"/>
    <x v="2"/>
    <n v="3"/>
    <s v="Bachelors"/>
    <s v="Skilled Manual"/>
    <s v="Yes"/>
    <n v="0"/>
    <x v="3"/>
    <x v="2"/>
    <n v="40"/>
    <x v="0"/>
    <x v="1"/>
    <n v="1"/>
    <m/>
  </r>
  <r>
    <n v="16773"/>
    <s v="Married"/>
    <x v="0"/>
    <n v="60000"/>
    <x v="2"/>
    <n v="1"/>
    <s v="Graduate Degree"/>
    <s v="Skilled Manual"/>
    <s v="Yes"/>
    <n v="0"/>
    <x v="0"/>
    <x v="2"/>
    <n v="33"/>
    <x v="1"/>
    <x v="0"/>
    <b v="0"/>
    <m/>
  </r>
  <r>
    <n v="11233"/>
    <s v="Married"/>
    <x v="0"/>
    <n v="70000"/>
    <x v="2"/>
    <n v="4"/>
    <s v="Partial College"/>
    <s v="Professional"/>
    <s v="Yes"/>
    <n v="2"/>
    <x v="4"/>
    <x v="2"/>
    <n v="53"/>
    <x v="0"/>
    <x v="0"/>
    <b v="0"/>
    <m/>
  </r>
  <r>
    <n v="15555"/>
    <s v="Married"/>
    <x v="1"/>
    <n v="60000"/>
    <x v="2"/>
    <n v="1"/>
    <s v="Partial College"/>
    <s v="Skilled Manual"/>
    <s v="Yes"/>
    <n v="1"/>
    <x v="3"/>
    <x v="2"/>
    <n v="45"/>
    <x v="0"/>
    <x v="1"/>
    <n v="1"/>
    <m/>
  </r>
  <r>
    <n v="13390"/>
    <s v="Married"/>
    <x v="1"/>
    <n v="70000"/>
    <x v="2"/>
    <n v="4"/>
    <s v="Partial College"/>
    <s v="Professional"/>
    <s v="No"/>
    <n v="1"/>
    <x v="1"/>
    <x v="2"/>
    <n v="56"/>
    <x v="0"/>
    <x v="0"/>
    <b v="0"/>
    <m/>
  </r>
  <r>
    <n v="16751"/>
    <s v="Married"/>
    <x v="0"/>
    <n v="60000"/>
    <x v="2"/>
    <n v="0"/>
    <s v="Partial College"/>
    <s v="Skilled Manual"/>
    <s v="Yes"/>
    <n v="1"/>
    <x v="2"/>
    <x v="2"/>
    <n v="32"/>
    <x v="1"/>
    <x v="1"/>
    <n v="1"/>
    <m/>
  </r>
  <r>
    <n v="24801"/>
    <s v="Single"/>
    <x v="0"/>
    <n v="60000"/>
    <x v="2"/>
    <n v="1"/>
    <s v="Graduate Degree"/>
    <s v="Professional"/>
    <s v="Yes"/>
    <n v="0"/>
    <x v="3"/>
    <x v="2"/>
    <n v="35"/>
    <x v="1"/>
    <x v="1"/>
    <n v="1"/>
    <m/>
  </r>
  <r>
    <n v="17519"/>
    <s v="Married"/>
    <x v="1"/>
    <n v="60000"/>
    <x v="2"/>
    <n v="0"/>
    <s v="Partial College"/>
    <s v="Professional"/>
    <s v="Yes"/>
    <n v="2"/>
    <x v="2"/>
    <x v="2"/>
    <n v="32"/>
    <x v="1"/>
    <x v="0"/>
    <b v="0"/>
    <m/>
  </r>
  <r>
    <n v="11745"/>
    <s v="Married"/>
    <x v="1"/>
    <n v="60000"/>
    <x v="2"/>
    <n v="1"/>
    <s v="Bachelors"/>
    <s v="Professional"/>
    <s v="Yes"/>
    <n v="1"/>
    <x v="0"/>
    <x v="2"/>
    <n v="47"/>
    <x v="0"/>
    <x v="1"/>
    <n v="1"/>
    <m/>
  </r>
  <r>
    <n v="28052"/>
    <s v="Married"/>
    <x v="0"/>
    <n v="60000"/>
    <x v="2"/>
    <n v="2"/>
    <s v="High School"/>
    <s v="Professional"/>
    <s v="Yes"/>
    <n v="2"/>
    <x v="4"/>
    <x v="2"/>
    <n v="55"/>
    <x v="0"/>
    <x v="0"/>
    <b v="0"/>
    <m/>
  </r>
  <r>
    <n v="26693"/>
    <s v="Married"/>
    <x v="0"/>
    <n v="70000"/>
    <x v="2"/>
    <n v="3"/>
    <s v="Partial College"/>
    <s v="Professional"/>
    <s v="Yes"/>
    <n v="1"/>
    <x v="2"/>
    <x v="2"/>
    <n v="49"/>
    <x v="0"/>
    <x v="0"/>
    <b v="0"/>
    <m/>
  </r>
  <r>
    <n v="13942"/>
    <s v="Married"/>
    <x v="0"/>
    <n v="60000"/>
    <x v="2"/>
    <n v="1"/>
    <s v="Partial College"/>
    <s v="Skilled Manual"/>
    <s v="Yes"/>
    <n v="1"/>
    <x v="0"/>
    <x v="2"/>
    <n v="46"/>
    <x v="0"/>
    <x v="0"/>
    <b v="0"/>
    <m/>
  </r>
  <r>
    <n v="11219"/>
    <s v="Married"/>
    <x v="0"/>
    <n v="60000"/>
    <x v="2"/>
    <n v="2"/>
    <s v="High School"/>
    <s v="Professional"/>
    <s v="Yes"/>
    <n v="2"/>
    <x v="4"/>
    <x v="2"/>
    <n v="55"/>
    <x v="0"/>
    <x v="0"/>
    <b v="0"/>
    <m/>
  </r>
  <r>
    <n v="22118"/>
    <s v="Single"/>
    <x v="1"/>
    <n v="70000"/>
    <x v="2"/>
    <n v="3"/>
    <s v="Graduate Degree"/>
    <s v="Management"/>
    <s v="Yes"/>
    <n v="2"/>
    <x v="2"/>
    <x v="2"/>
    <n v="53"/>
    <x v="0"/>
    <x v="1"/>
    <n v="1"/>
    <m/>
  </r>
  <r>
    <n v="27279"/>
    <s v="Single"/>
    <x v="1"/>
    <n v="70000"/>
    <x v="2"/>
    <n v="2"/>
    <s v="Bachelors"/>
    <s v="Skilled Manual"/>
    <s v="Yes"/>
    <n v="0"/>
    <x v="3"/>
    <x v="2"/>
    <n v="38"/>
    <x v="1"/>
    <x v="1"/>
    <n v="1"/>
    <m/>
  </r>
  <r>
    <n v="15879"/>
    <s v="Married"/>
    <x v="0"/>
    <n v="70000"/>
    <x v="2"/>
    <n v="5"/>
    <s v="Bachelors"/>
    <s v="Management"/>
    <s v="Yes"/>
    <n v="2"/>
    <x v="3"/>
    <x v="2"/>
    <n v="61"/>
    <x v="2"/>
    <x v="0"/>
    <b v="0"/>
    <m/>
  </r>
  <r>
    <n v="16151"/>
    <s v="Married"/>
    <x v="1"/>
    <n v="60000"/>
    <x v="2"/>
    <n v="1"/>
    <s v="Bachelors"/>
    <s v="Professional"/>
    <s v="Yes"/>
    <n v="1"/>
    <x v="3"/>
    <x v="2"/>
    <n v="48"/>
    <x v="0"/>
    <x v="1"/>
    <n v="1"/>
    <m/>
  </r>
  <r>
    <n v="11807"/>
    <s v="Married"/>
    <x v="0"/>
    <n v="70000"/>
    <x v="2"/>
    <n v="3"/>
    <s v="Graduate Degree"/>
    <s v="Professional"/>
    <s v="Yes"/>
    <n v="0"/>
    <x v="3"/>
    <x v="2"/>
    <n v="34"/>
    <x v="1"/>
    <x v="0"/>
    <b v="0"/>
    <m/>
  </r>
  <r>
    <n v="26597"/>
    <s v="Single"/>
    <x v="1"/>
    <n v="60000"/>
    <x v="2"/>
    <n v="4"/>
    <s v="Bachelors"/>
    <s v="Skilled Manual"/>
    <s v="No"/>
    <n v="2"/>
    <x v="0"/>
    <x v="2"/>
    <n v="42"/>
    <x v="0"/>
    <x v="0"/>
    <b v="0"/>
    <m/>
  </r>
  <r>
    <n v="27074"/>
    <s v="Married"/>
    <x v="1"/>
    <n v="70000"/>
    <x v="2"/>
    <n v="1"/>
    <s v="Graduate Degree"/>
    <s v="Skilled Manual"/>
    <s v="Yes"/>
    <n v="0"/>
    <x v="0"/>
    <x v="2"/>
    <n v="35"/>
    <x v="1"/>
    <x v="1"/>
    <n v="1"/>
    <m/>
  </r>
  <r>
    <n v="17000"/>
    <s v="Single"/>
    <x v="1"/>
    <n v="70000"/>
    <x v="2"/>
    <n v="4"/>
    <s v="Bachelors"/>
    <s v="Skilled Manual"/>
    <s v="Yes"/>
    <n v="2"/>
    <x v="3"/>
    <x v="2"/>
    <n v="43"/>
    <x v="0"/>
    <x v="1"/>
    <n v="1"/>
    <m/>
  </r>
  <r>
    <n v="14569"/>
    <s v="Married"/>
    <x v="0"/>
    <n v="60000"/>
    <x v="2"/>
    <n v="1"/>
    <s v="Graduate Degree"/>
    <s v="Professional"/>
    <s v="Yes"/>
    <n v="0"/>
    <x v="0"/>
    <x v="2"/>
    <n v="35"/>
    <x v="1"/>
    <x v="0"/>
    <b v="0"/>
    <m/>
  </r>
  <r>
    <n v="13873"/>
    <s v="Married"/>
    <x v="0"/>
    <n v="70000"/>
    <x v="2"/>
    <n v="3"/>
    <s v="Graduate Degree"/>
    <s v="Professional"/>
    <s v="Yes"/>
    <n v="0"/>
    <x v="0"/>
    <x v="2"/>
    <n v="35"/>
    <x v="1"/>
    <x v="1"/>
    <n v="1"/>
    <m/>
  </r>
  <r>
    <n v="18066"/>
    <s v="Single"/>
    <x v="0"/>
    <n v="70000"/>
    <x v="2"/>
    <n v="5"/>
    <s v="Bachelors"/>
    <s v="Management"/>
    <s v="Yes"/>
    <n v="3"/>
    <x v="4"/>
    <x v="2"/>
    <n v="60"/>
    <x v="2"/>
    <x v="1"/>
    <n v="1"/>
    <m/>
  </r>
  <r>
    <n v="28192"/>
    <s v="Married"/>
    <x v="1"/>
    <n v="70000"/>
    <x v="2"/>
    <n v="5"/>
    <s v="Graduate Degree"/>
    <s v="Professional"/>
    <s v="Yes"/>
    <n v="3"/>
    <x v="4"/>
    <x v="2"/>
    <n v="46"/>
    <x v="0"/>
    <x v="0"/>
    <b v="0"/>
    <m/>
  </r>
  <r>
    <n v="18607"/>
    <s v="Single"/>
    <x v="1"/>
    <n v="60000"/>
    <x v="2"/>
    <n v="4"/>
    <s v="Bachelors"/>
    <s v="Skilled Manual"/>
    <s v="Yes"/>
    <n v="2"/>
    <x v="3"/>
    <x v="2"/>
    <n v="42"/>
    <x v="0"/>
    <x v="1"/>
    <n v="1"/>
    <m/>
  </r>
  <r>
    <n v="26305"/>
    <s v="Single"/>
    <x v="1"/>
    <n v="60000"/>
    <x v="2"/>
    <n v="2"/>
    <s v="Bachelors"/>
    <s v="Skilled Manual"/>
    <s v="No"/>
    <n v="0"/>
    <x v="0"/>
    <x v="2"/>
    <n v="36"/>
    <x v="1"/>
    <x v="1"/>
    <n v="1"/>
    <m/>
  </r>
  <r>
    <n v="25394"/>
    <s v="Married"/>
    <x v="0"/>
    <n v="60000"/>
    <x v="2"/>
    <n v="1"/>
    <s v="Graduate Degree"/>
    <s v="Professional"/>
    <s v="Yes"/>
    <n v="0"/>
    <x v="3"/>
    <x v="2"/>
    <n v="34"/>
    <x v="1"/>
    <x v="1"/>
    <n v="1"/>
    <m/>
  </r>
  <r>
    <n v="21695"/>
    <s v="Married"/>
    <x v="0"/>
    <n v="60000"/>
    <x v="2"/>
    <n v="0"/>
    <s v="Graduate Degree"/>
    <s v="Skilled Manual"/>
    <s v="Yes"/>
    <n v="0"/>
    <x v="1"/>
    <x v="2"/>
    <n v="39"/>
    <x v="1"/>
    <x v="1"/>
    <n v="1"/>
    <m/>
  </r>
  <r>
    <n v="28657"/>
    <s v="Single"/>
    <x v="0"/>
    <n v="60000"/>
    <x v="2"/>
    <n v="2"/>
    <s v="Bachelors"/>
    <s v="Skilled Manual"/>
    <s v="Yes"/>
    <n v="0"/>
    <x v="3"/>
    <x v="2"/>
    <n v="36"/>
    <x v="1"/>
    <x v="1"/>
    <n v="1"/>
    <m/>
  </r>
  <r>
    <n v="21752"/>
    <s v="Married"/>
    <x v="0"/>
    <n v="60000"/>
    <x v="2"/>
    <n v="3"/>
    <s v="Graduate Degree"/>
    <s v="Management"/>
    <s v="Yes"/>
    <n v="2"/>
    <x v="4"/>
    <x v="2"/>
    <n v="64"/>
    <x v="2"/>
    <x v="0"/>
    <b v="0"/>
    <m/>
  </r>
  <r>
    <n v="27273"/>
    <s v="Single"/>
    <x v="0"/>
    <n v="70000"/>
    <x v="2"/>
    <n v="3"/>
    <s v="Graduate Degree"/>
    <s v="Professional"/>
    <s v="No"/>
    <n v="0"/>
    <x v="0"/>
    <x v="2"/>
    <n v="35"/>
    <x v="1"/>
    <x v="1"/>
    <n v="1"/>
    <m/>
  </r>
  <r>
    <n v="22042"/>
    <s v="Married"/>
    <x v="1"/>
    <n v="70000"/>
    <x v="2"/>
    <n v="0"/>
    <s v="Partial College"/>
    <s v="Skilled Manual"/>
    <s v="Yes"/>
    <n v="2"/>
    <x v="2"/>
    <x v="2"/>
    <n v="34"/>
    <x v="1"/>
    <x v="1"/>
    <n v="1"/>
    <m/>
  </r>
  <r>
    <n v="12153"/>
    <s v="Single"/>
    <x v="1"/>
    <n v="70000"/>
    <x v="2"/>
    <n v="3"/>
    <s v="Partial College"/>
    <s v="Professional"/>
    <s v="Yes"/>
    <n v="1"/>
    <x v="2"/>
    <x v="2"/>
    <n v="49"/>
    <x v="0"/>
    <x v="1"/>
    <n v="1"/>
    <m/>
  </r>
  <r>
    <n v="26728"/>
    <s v="Single"/>
    <x v="0"/>
    <n v="70000"/>
    <x v="2"/>
    <n v="3"/>
    <s v="Graduate Degree"/>
    <s v="Management"/>
    <s v="No"/>
    <n v="2"/>
    <x v="1"/>
    <x v="2"/>
    <n v="53"/>
    <x v="0"/>
    <x v="1"/>
    <n v="1"/>
    <m/>
  </r>
  <r>
    <n v="11823"/>
    <s v="Married"/>
    <x v="1"/>
    <n v="70000"/>
    <x v="2"/>
    <n v="0"/>
    <s v="Graduate Degree"/>
    <s v="Professional"/>
    <s v="Yes"/>
    <n v="0"/>
    <x v="3"/>
    <x v="2"/>
    <n v="39"/>
    <x v="1"/>
    <x v="0"/>
    <b v="0"/>
    <m/>
  </r>
  <r>
    <n v="23449"/>
    <s v="Married"/>
    <x v="0"/>
    <n v="60000"/>
    <x v="2"/>
    <n v="2"/>
    <s v="High School"/>
    <s v="Professional"/>
    <s v="Yes"/>
    <n v="2"/>
    <x v="2"/>
    <x v="2"/>
    <n v="48"/>
    <x v="0"/>
    <x v="0"/>
    <b v="0"/>
    <m/>
  </r>
  <r>
    <n v="23459"/>
    <s v="Married"/>
    <x v="0"/>
    <n v="60000"/>
    <x v="2"/>
    <n v="2"/>
    <s v="High School"/>
    <s v="Professional"/>
    <s v="Yes"/>
    <n v="2"/>
    <x v="2"/>
    <x v="2"/>
    <n v="50"/>
    <x v="0"/>
    <x v="0"/>
    <b v="0"/>
    <m/>
  </r>
  <r>
    <n v="19543"/>
    <s v="Married"/>
    <x v="0"/>
    <n v="70000"/>
    <x v="2"/>
    <n v="5"/>
    <s v="Graduate Degree"/>
    <s v="Professional"/>
    <s v="No"/>
    <n v="3"/>
    <x v="4"/>
    <x v="2"/>
    <n v="47"/>
    <x v="0"/>
    <x v="0"/>
    <b v="0"/>
    <m/>
  </r>
  <r>
    <n v="11941"/>
    <s v="Single"/>
    <x v="0"/>
    <n v="60000"/>
    <x v="2"/>
    <n v="0"/>
    <s v="Partial College"/>
    <s v="Skilled Manual"/>
    <s v="Yes"/>
    <n v="0"/>
    <x v="2"/>
    <x v="2"/>
    <n v="29"/>
    <x v="1"/>
    <x v="0"/>
    <b v="0"/>
    <m/>
  </r>
  <r>
    <n v="14389"/>
    <s v="Married"/>
    <x v="0"/>
    <n v="60000"/>
    <x v="2"/>
    <n v="2"/>
    <s v="Bachelors"/>
    <s v="Management"/>
    <s v="Yes"/>
    <n v="0"/>
    <x v="3"/>
    <x v="2"/>
    <n v="59"/>
    <x v="0"/>
    <x v="0"/>
    <b v="0"/>
    <m/>
  </r>
  <r>
    <n v="18050"/>
    <s v="Married"/>
    <x v="1"/>
    <n v="60000"/>
    <x v="2"/>
    <n v="1"/>
    <s v="Partial College"/>
    <s v="Skilled Manual"/>
    <s v="Yes"/>
    <n v="1"/>
    <x v="0"/>
    <x v="2"/>
    <n v="45"/>
    <x v="0"/>
    <x v="1"/>
    <n v="1"/>
    <m/>
  </r>
  <r>
    <n v="19856"/>
    <s v="Married"/>
    <x v="1"/>
    <n v="60000"/>
    <x v="2"/>
    <n v="4"/>
    <s v="Bachelors"/>
    <s v="Management"/>
    <s v="Yes"/>
    <n v="2"/>
    <x v="3"/>
    <x v="2"/>
    <n v="60"/>
    <x v="2"/>
    <x v="0"/>
    <b v="0"/>
    <m/>
  </r>
  <r>
    <n v="11663"/>
    <s v="Married"/>
    <x v="0"/>
    <n v="70000"/>
    <x v="2"/>
    <n v="4"/>
    <s v="Graduate Degree"/>
    <s v="Professional"/>
    <s v="Yes"/>
    <n v="0"/>
    <x v="0"/>
    <x v="2"/>
    <n v="36"/>
    <x v="1"/>
    <x v="1"/>
    <n v="1"/>
    <m/>
  </r>
  <r>
    <n v="15292"/>
    <s v="Single"/>
    <x v="1"/>
    <n v="60000"/>
    <x v="2"/>
    <n v="1"/>
    <s v="Graduate Degree"/>
    <s v="Skilled Manual"/>
    <s v="Yes"/>
    <n v="0"/>
    <x v="1"/>
    <x v="2"/>
    <n v="35"/>
    <x v="1"/>
    <x v="0"/>
    <b v="0"/>
    <m/>
  </r>
  <r>
    <n v="21587"/>
    <s v="Married"/>
    <x v="1"/>
    <n v="60000"/>
    <x v="2"/>
    <n v="1"/>
    <s v="Graduate Degree"/>
    <s v="Skilled Manual"/>
    <s v="Yes"/>
    <n v="0"/>
    <x v="3"/>
    <x v="2"/>
    <n v="34"/>
    <x v="1"/>
    <x v="1"/>
    <n v="1"/>
    <m/>
  </r>
  <r>
    <n v="24322"/>
    <s v="Married"/>
    <x v="1"/>
    <n v="60000"/>
    <x v="2"/>
    <n v="4"/>
    <s v="Bachelors"/>
    <s v="Skilled Manual"/>
    <s v="No"/>
    <n v="2"/>
    <x v="0"/>
    <x v="2"/>
    <n v="42"/>
    <x v="0"/>
    <x v="0"/>
    <b v="0"/>
    <m/>
  </r>
  <r>
    <n v="21693"/>
    <s v="Single"/>
    <x v="1"/>
    <n v="60000"/>
    <x v="2"/>
    <n v="0"/>
    <s v="Graduate Degree"/>
    <s v="Skilled Manual"/>
    <s v="No"/>
    <n v="0"/>
    <x v="0"/>
    <x v="2"/>
    <n v="40"/>
    <x v="0"/>
    <x v="0"/>
    <b v="0"/>
    <m/>
  </r>
  <r>
    <n v="28056"/>
    <s v="Married"/>
    <x v="0"/>
    <n v="70000"/>
    <x v="2"/>
    <n v="2"/>
    <s v="Partial High School"/>
    <s v="Skilled Manual"/>
    <s v="Yes"/>
    <n v="2"/>
    <x v="4"/>
    <x v="2"/>
    <n v="53"/>
    <x v="0"/>
    <x v="0"/>
    <b v="0"/>
    <m/>
  </r>
  <r>
    <n v="11788"/>
    <s v="Single"/>
    <x v="1"/>
    <n v="70000"/>
    <x v="2"/>
    <n v="1"/>
    <s v="Graduate Degree"/>
    <s v="Professional"/>
    <s v="Yes"/>
    <n v="0"/>
    <x v="3"/>
    <x v="2"/>
    <n v="34"/>
    <x v="1"/>
    <x v="0"/>
    <b v="0"/>
    <m/>
  </r>
  <r>
    <n v="22296"/>
    <s v="Married"/>
    <x v="0"/>
    <n v="70000"/>
    <x v="2"/>
    <n v="0"/>
    <s v="Bachelors"/>
    <s v="Professional"/>
    <s v="No"/>
    <n v="1"/>
    <x v="0"/>
    <x v="2"/>
    <n v="38"/>
    <x v="1"/>
    <x v="0"/>
    <b v="0"/>
    <m/>
  </r>
  <r>
    <n v="15319"/>
    <s v="Married"/>
    <x v="1"/>
    <n v="70000"/>
    <x v="2"/>
    <n v="4"/>
    <s v="Bachelors"/>
    <s v="Management"/>
    <s v="No"/>
    <n v="1"/>
    <x v="1"/>
    <x v="2"/>
    <n v="59"/>
    <x v="0"/>
    <x v="0"/>
    <b v="0"/>
    <m/>
  </r>
  <r>
    <n v="14662"/>
    <s v="Married"/>
    <x v="0"/>
    <n v="60000"/>
    <x v="2"/>
    <n v="1"/>
    <s v="Bachelors"/>
    <s v="Professional"/>
    <s v="Yes"/>
    <n v="1"/>
    <x v="0"/>
    <x v="2"/>
    <n v="48"/>
    <x v="0"/>
    <x v="1"/>
    <n v="1"/>
    <m/>
  </r>
  <r>
    <n v="13886"/>
    <s v="Married"/>
    <x v="1"/>
    <n v="70000"/>
    <x v="2"/>
    <n v="4"/>
    <s v="Graduate Degree"/>
    <s v="Professional"/>
    <s v="Yes"/>
    <n v="0"/>
    <x v="3"/>
    <x v="2"/>
    <n v="35"/>
    <x v="1"/>
    <x v="1"/>
    <n v="1"/>
    <m/>
  </r>
  <r>
    <n v="13073"/>
    <s v="Married"/>
    <x v="1"/>
    <n v="60000"/>
    <x v="2"/>
    <n v="0"/>
    <s v="Partial College"/>
    <s v="Professional"/>
    <s v="Yes"/>
    <n v="2"/>
    <x v="2"/>
    <x v="2"/>
    <n v="30"/>
    <x v="1"/>
    <x v="0"/>
    <b v="0"/>
    <m/>
  </r>
  <r>
    <n v="20196"/>
    <s v="Married"/>
    <x v="0"/>
    <n v="60000"/>
    <x v="2"/>
    <n v="1"/>
    <s v="Partial College"/>
    <s v="Skilled Manual"/>
    <s v="Yes"/>
    <n v="1"/>
    <x v="3"/>
    <x v="2"/>
    <n v="45"/>
    <x v="0"/>
    <x v="1"/>
    <n v="1"/>
    <m/>
  </r>
  <r>
    <n v="16813"/>
    <s v="Married"/>
    <x v="0"/>
    <n v="60000"/>
    <x v="2"/>
    <n v="2"/>
    <s v="Partial College"/>
    <s v="Professional"/>
    <s v="Yes"/>
    <n v="2"/>
    <x v="4"/>
    <x v="2"/>
    <n v="55"/>
    <x v="0"/>
    <x v="0"/>
    <b v="0"/>
    <m/>
  </r>
  <r>
    <n v="27434"/>
    <s v="Single"/>
    <x v="0"/>
    <n v="70000"/>
    <x v="2"/>
    <n v="4"/>
    <s v="Partial College"/>
    <s v="Professional"/>
    <s v="Yes"/>
    <n v="1"/>
    <x v="4"/>
    <x v="2"/>
    <n v="56"/>
    <x v="0"/>
    <x v="0"/>
    <b v="0"/>
    <m/>
  </r>
  <r>
    <n v="29037"/>
    <s v="Married"/>
    <x v="0"/>
    <n v="60000"/>
    <x v="2"/>
    <n v="0"/>
    <s v="Graduate Degree"/>
    <s v="Professional"/>
    <s v="No"/>
    <n v="0"/>
    <x v="0"/>
    <x v="2"/>
    <n v="39"/>
    <x v="1"/>
    <x v="0"/>
    <b v="0"/>
    <m/>
  </r>
  <r>
    <n v="26576"/>
    <s v="Married"/>
    <x v="1"/>
    <n v="60000"/>
    <x v="2"/>
    <n v="0"/>
    <s v="Partial College"/>
    <s v="Skilled Manual"/>
    <s v="Yes"/>
    <n v="2"/>
    <x v="2"/>
    <x v="2"/>
    <n v="31"/>
    <x v="1"/>
    <x v="0"/>
    <b v="0"/>
    <m/>
  </r>
  <r>
    <n v="12192"/>
    <s v="Single"/>
    <x v="1"/>
    <n v="60000"/>
    <x v="2"/>
    <n v="2"/>
    <s v="Partial High School"/>
    <s v="Skilled Manual"/>
    <s v="No"/>
    <n v="2"/>
    <x v="1"/>
    <x v="2"/>
    <n v="51"/>
    <x v="0"/>
    <x v="0"/>
    <b v="0"/>
    <m/>
  </r>
  <r>
    <n v="11734"/>
    <s v="Married"/>
    <x v="0"/>
    <n v="60000"/>
    <x v="2"/>
    <n v="1"/>
    <s v="Partial College"/>
    <s v="Skilled Manual"/>
    <s v="No"/>
    <n v="1"/>
    <x v="0"/>
    <x v="2"/>
    <n v="47"/>
    <x v="0"/>
    <x v="0"/>
    <b v="0"/>
    <m/>
  </r>
  <r>
    <n v="17462"/>
    <s v="Married"/>
    <x v="0"/>
    <n v="70000"/>
    <x v="2"/>
    <n v="3"/>
    <s v="Graduate Degree"/>
    <s v="Management"/>
    <s v="Yes"/>
    <n v="2"/>
    <x v="2"/>
    <x v="2"/>
    <n v="53"/>
    <x v="0"/>
    <x v="1"/>
    <n v="1"/>
    <m/>
  </r>
  <r>
    <n v="20659"/>
    <s v="Married"/>
    <x v="0"/>
    <n v="70000"/>
    <x v="2"/>
    <n v="3"/>
    <s v="Graduate Degree"/>
    <s v="Professional"/>
    <s v="Yes"/>
    <n v="0"/>
    <x v="0"/>
    <x v="2"/>
    <n v="35"/>
    <x v="1"/>
    <x v="1"/>
    <n v="1"/>
    <m/>
  </r>
  <r>
    <n v="28004"/>
    <s v="Married"/>
    <x v="1"/>
    <n v="60000"/>
    <x v="2"/>
    <n v="3"/>
    <s v="Bachelors"/>
    <s v="Management"/>
    <s v="Yes"/>
    <n v="2"/>
    <x v="4"/>
    <x v="2"/>
    <n v="66"/>
    <x v="2"/>
    <x v="0"/>
    <b v="0"/>
    <m/>
  </r>
  <r>
    <n v="25148"/>
    <s v="Married"/>
    <x v="0"/>
    <n v="60000"/>
    <x v="2"/>
    <n v="2"/>
    <s v="High School"/>
    <s v="Professional"/>
    <s v="No"/>
    <n v="2"/>
    <x v="1"/>
    <x v="2"/>
    <n v="48"/>
    <x v="0"/>
    <x v="1"/>
    <n v="1"/>
    <m/>
  </r>
  <r>
    <n v="28972"/>
    <s v="Single"/>
    <x v="1"/>
    <n v="60000"/>
    <x v="2"/>
    <n v="3"/>
    <s v="Graduate Degree"/>
    <s v="Management"/>
    <s v="Yes"/>
    <n v="2"/>
    <x v="4"/>
    <x v="2"/>
    <n v="66"/>
    <x v="2"/>
    <x v="0"/>
    <b v="0"/>
    <m/>
  </r>
  <r>
    <n v="22730"/>
    <s v="Married"/>
    <x v="0"/>
    <n v="70000"/>
    <x v="2"/>
    <n v="5"/>
    <s v="Bachelors"/>
    <s v="Management"/>
    <s v="Yes"/>
    <n v="2"/>
    <x v="4"/>
    <x v="2"/>
    <n v="63"/>
    <x v="2"/>
    <x v="0"/>
    <b v="0"/>
    <m/>
  </r>
  <r>
    <n v="29134"/>
    <s v="Married"/>
    <x v="0"/>
    <n v="60000"/>
    <x v="2"/>
    <n v="4"/>
    <s v="Bachelors"/>
    <s v="Skilled Manual"/>
    <s v="No"/>
    <n v="3"/>
    <x v="4"/>
    <x v="2"/>
    <n v="42"/>
    <x v="0"/>
    <x v="0"/>
    <b v="0"/>
    <m/>
  </r>
  <r>
    <n v="19117"/>
    <s v="Single"/>
    <x v="1"/>
    <n v="60000"/>
    <x v="2"/>
    <n v="1"/>
    <s v="Graduate Degree"/>
    <s v="Professional"/>
    <s v="Yes"/>
    <n v="0"/>
    <x v="3"/>
    <x v="2"/>
    <n v="36"/>
    <x v="1"/>
    <x v="1"/>
    <n v="1"/>
    <m/>
  </r>
  <r>
    <n v="23731"/>
    <s v="Married"/>
    <x v="0"/>
    <n v="60000"/>
    <x v="2"/>
    <n v="2"/>
    <s v="High School"/>
    <s v="Professional"/>
    <s v="Yes"/>
    <n v="2"/>
    <x v="3"/>
    <x v="2"/>
    <n v="54"/>
    <x v="0"/>
    <x v="1"/>
    <n v="1"/>
    <m/>
  </r>
  <r>
    <n v="28672"/>
    <s v="Single"/>
    <x v="0"/>
    <n v="70000"/>
    <x v="2"/>
    <n v="4"/>
    <s v="Graduate Degree"/>
    <s v="Professional"/>
    <s v="Yes"/>
    <n v="0"/>
    <x v="3"/>
    <x v="2"/>
    <n v="35"/>
    <x v="1"/>
    <x v="1"/>
    <n v="1"/>
    <m/>
  </r>
  <r>
    <n v="11809"/>
    <s v="Married"/>
    <x v="0"/>
    <n v="60000"/>
    <x v="2"/>
    <n v="2"/>
    <s v="Bachelors"/>
    <s v="Skilled Manual"/>
    <s v="Yes"/>
    <n v="0"/>
    <x v="0"/>
    <x v="2"/>
    <n v="38"/>
    <x v="1"/>
    <x v="1"/>
    <n v="1"/>
    <m/>
  </r>
  <r>
    <n v="12121"/>
    <s v="Single"/>
    <x v="0"/>
    <n v="60000"/>
    <x v="2"/>
    <n v="3"/>
    <s v="High School"/>
    <s v="Professional"/>
    <s v="Yes"/>
    <n v="2"/>
    <x v="4"/>
    <x v="2"/>
    <n v="53"/>
    <x v="0"/>
    <x v="1"/>
    <n v="1"/>
    <m/>
  </r>
  <r>
    <n v="12496"/>
    <s v="Married"/>
    <x v="1"/>
    <n v="40000"/>
    <x v="3"/>
    <n v="1"/>
    <s v="Bachelors"/>
    <s v="Skilled Manual"/>
    <s v="Yes"/>
    <n v="0"/>
    <x v="0"/>
    <x v="0"/>
    <n v="42"/>
    <x v="0"/>
    <x v="0"/>
    <b v="0"/>
    <m/>
  </r>
  <r>
    <n v="19364"/>
    <s v="Married"/>
    <x v="0"/>
    <n v="40000"/>
    <x v="3"/>
    <n v="1"/>
    <s v="Bachelors"/>
    <s v="Skilled Manual"/>
    <s v="Yes"/>
    <n v="0"/>
    <x v="0"/>
    <x v="0"/>
    <n v="43"/>
    <x v="0"/>
    <x v="1"/>
    <n v="1"/>
    <m/>
  </r>
  <r>
    <n v="25323"/>
    <s v="Married"/>
    <x v="0"/>
    <n v="40000"/>
    <x v="3"/>
    <n v="2"/>
    <s v="Partial College"/>
    <s v="Clerical"/>
    <s v="Yes"/>
    <n v="1"/>
    <x v="1"/>
    <x v="0"/>
    <n v="35"/>
    <x v="1"/>
    <x v="1"/>
    <n v="1"/>
    <m/>
  </r>
  <r>
    <n v="27183"/>
    <s v="Single"/>
    <x v="0"/>
    <n v="40000"/>
    <x v="3"/>
    <n v="2"/>
    <s v="Partial College"/>
    <s v="Clerical"/>
    <s v="Yes"/>
    <n v="1"/>
    <x v="1"/>
    <x v="0"/>
    <n v="35"/>
    <x v="1"/>
    <x v="1"/>
    <n v="1"/>
    <m/>
  </r>
  <r>
    <n v="25598"/>
    <s v="Married"/>
    <x v="1"/>
    <n v="40000"/>
    <x v="3"/>
    <n v="0"/>
    <s v="Graduate Degree"/>
    <s v="Clerical"/>
    <s v="Yes"/>
    <n v="0"/>
    <x v="0"/>
    <x v="0"/>
    <n v="36"/>
    <x v="1"/>
    <x v="1"/>
    <n v="1"/>
    <m/>
  </r>
  <r>
    <n v="19193"/>
    <s v="Single"/>
    <x v="0"/>
    <n v="40000"/>
    <x v="3"/>
    <n v="2"/>
    <s v="Partial College"/>
    <s v="Clerical"/>
    <s v="Yes"/>
    <n v="0"/>
    <x v="1"/>
    <x v="0"/>
    <n v="35"/>
    <x v="1"/>
    <x v="1"/>
    <n v="1"/>
    <m/>
  </r>
  <r>
    <n v="27184"/>
    <s v="Single"/>
    <x v="0"/>
    <n v="40000"/>
    <x v="3"/>
    <n v="2"/>
    <s v="Partial College"/>
    <s v="Clerical"/>
    <s v="No"/>
    <n v="1"/>
    <x v="0"/>
    <x v="0"/>
    <n v="34"/>
    <x v="1"/>
    <x v="0"/>
    <b v="0"/>
    <m/>
  </r>
  <r>
    <n v="14347"/>
    <s v="Single"/>
    <x v="1"/>
    <n v="40000"/>
    <x v="3"/>
    <n v="2"/>
    <s v="Bachelors"/>
    <s v="Management"/>
    <s v="Yes"/>
    <n v="2"/>
    <x v="2"/>
    <x v="1"/>
    <n v="65"/>
    <x v="2"/>
    <x v="1"/>
    <n v="1"/>
    <m/>
  </r>
  <r>
    <n v="29097"/>
    <s v="Single"/>
    <x v="1"/>
    <n v="40000"/>
    <x v="3"/>
    <n v="2"/>
    <s v="Partial College"/>
    <s v="Skilled Manual"/>
    <s v="Yes"/>
    <n v="2"/>
    <x v="2"/>
    <x v="1"/>
    <n v="52"/>
    <x v="0"/>
    <x v="1"/>
    <n v="1"/>
    <m/>
  </r>
  <r>
    <n v="14939"/>
    <s v="Single"/>
    <x v="0"/>
    <n v="40000"/>
    <x v="3"/>
    <n v="0"/>
    <s v="Bachelors"/>
    <s v="Clerical"/>
    <s v="Yes"/>
    <n v="0"/>
    <x v="0"/>
    <x v="0"/>
    <n v="39"/>
    <x v="1"/>
    <x v="1"/>
    <n v="1"/>
    <m/>
  </r>
  <r>
    <n v="12808"/>
    <s v="Married"/>
    <x v="0"/>
    <n v="40000"/>
    <x v="3"/>
    <n v="0"/>
    <s v="Bachelors"/>
    <s v="Clerical"/>
    <s v="Yes"/>
    <n v="0"/>
    <x v="0"/>
    <x v="0"/>
    <n v="38"/>
    <x v="1"/>
    <x v="1"/>
    <n v="1"/>
    <m/>
  </r>
  <r>
    <n v="25502"/>
    <s v="Married"/>
    <x v="1"/>
    <n v="40000"/>
    <x v="3"/>
    <n v="1"/>
    <s v="Bachelors"/>
    <s v="Skilled Manual"/>
    <s v="Yes"/>
    <n v="0"/>
    <x v="0"/>
    <x v="0"/>
    <n v="43"/>
    <x v="0"/>
    <x v="1"/>
    <n v="1"/>
    <m/>
  </r>
  <r>
    <n v="16713"/>
    <s v="Married"/>
    <x v="0"/>
    <n v="40000"/>
    <x v="3"/>
    <n v="2"/>
    <s v="Bachelors"/>
    <s v="Management"/>
    <s v="Yes"/>
    <n v="1"/>
    <x v="0"/>
    <x v="1"/>
    <n v="52"/>
    <x v="0"/>
    <x v="1"/>
    <n v="1"/>
    <m/>
  </r>
  <r>
    <n v="29355"/>
    <s v="Married"/>
    <x v="1"/>
    <n v="40000"/>
    <x v="3"/>
    <n v="0"/>
    <s v="Graduate Degree"/>
    <s v="Clerical"/>
    <s v="Yes"/>
    <n v="0"/>
    <x v="0"/>
    <x v="0"/>
    <n v="37"/>
    <x v="1"/>
    <x v="1"/>
    <n v="1"/>
    <m/>
  </r>
  <r>
    <n v="27745"/>
    <s v="Single"/>
    <x v="0"/>
    <n v="40000"/>
    <x v="3"/>
    <n v="2"/>
    <s v="Bachelors"/>
    <s v="Management"/>
    <s v="Yes"/>
    <n v="2"/>
    <x v="2"/>
    <x v="1"/>
    <n v="63"/>
    <x v="2"/>
    <x v="1"/>
    <n v="1"/>
    <m/>
  </r>
  <r>
    <n v="24485"/>
    <s v="Single"/>
    <x v="0"/>
    <n v="40000"/>
    <x v="3"/>
    <n v="2"/>
    <s v="Bachelors"/>
    <s v="Management"/>
    <s v="No"/>
    <n v="1"/>
    <x v="2"/>
    <x v="1"/>
    <n v="52"/>
    <x v="0"/>
    <x v="1"/>
    <n v="1"/>
    <m/>
  </r>
  <r>
    <n v="23940"/>
    <s v="Married"/>
    <x v="0"/>
    <n v="40000"/>
    <x v="3"/>
    <n v="1"/>
    <s v="Bachelors"/>
    <s v="Skilled Manual"/>
    <s v="Yes"/>
    <n v="1"/>
    <x v="0"/>
    <x v="0"/>
    <n v="44"/>
    <x v="0"/>
    <x v="1"/>
    <n v="1"/>
    <m/>
  </r>
  <r>
    <n v="19441"/>
    <s v="Married"/>
    <x v="0"/>
    <n v="40000"/>
    <x v="3"/>
    <n v="0"/>
    <s v="Graduate Degree"/>
    <s v="Clerical"/>
    <s v="Yes"/>
    <n v="0"/>
    <x v="0"/>
    <x v="0"/>
    <n v="25"/>
    <x v="1"/>
    <x v="1"/>
    <n v="1"/>
    <m/>
  </r>
  <r>
    <n v="27494"/>
    <s v="Single"/>
    <x v="1"/>
    <n v="40000"/>
    <x v="3"/>
    <n v="2"/>
    <s v="Partial College"/>
    <s v="Skilled Manual"/>
    <s v="No"/>
    <n v="2"/>
    <x v="1"/>
    <x v="1"/>
    <n v="53"/>
    <x v="0"/>
    <x v="1"/>
    <n v="1"/>
    <m/>
  </r>
  <r>
    <n v="26829"/>
    <s v="Married"/>
    <x v="1"/>
    <n v="40000"/>
    <x v="3"/>
    <n v="0"/>
    <s v="Bachelors"/>
    <s v="Clerical"/>
    <s v="Yes"/>
    <n v="0"/>
    <x v="0"/>
    <x v="0"/>
    <n v="38"/>
    <x v="1"/>
    <x v="1"/>
    <n v="1"/>
    <m/>
  </r>
  <r>
    <n v="28395"/>
    <s v="Single"/>
    <x v="0"/>
    <n v="40000"/>
    <x v="3"/>
    <n v="0"/>
    <s v="Bachelors"/>
    <s v="Professional"/>
    <s v="No"/>
    <n v="0"/>
    <x v="0"/>
    <x v="0"/>
    <n v="39"/>
    <x v="1"/>
    <x v="1"/>
    <n v="1"/>
    <m/>
  </r>
  <r>
    <n v="17650"/>
    <s v="Single"/>
    <x v="1"/>
    <n v="40000"/>
    <x v="3"/>
    <n v="2"/>
    <s v="Partial College"/>
    <s v="Clerical"/>
    <s v="Yes"/>
    <n v="2"/>
    <x v="1"/>
    <x v="0"/>
    <n v="35"/>
    <x v="1"/>
    <x v="0"/>
    <b v="0"/>
    <m/>
  </r>
  <r>
    <n v="22988"/>
    <s v="Married"/>
    <x v="1"/>
    <n v="40000"/>
    <x v="3"/>
    <n v="2"/>
    <s v="Bachelors"/>
    <s v="Management"/>
    <s v="Yes"/>
    <n v="2"/>
    <x v="2"/>
    <x v="1"/>
    <n v="66"/>
    <x v="2"/>
    <x v="1"/>
    <n v="1"/>
    <m/>
  </r>
  <r>
    <n v="27775"/>
    <s v="Single"/>
    <x v="1"/>
    <n v="40000"/>
    <x v="3"/>
    <n v="0"/>
    <s v="Bachelors"/>
    <s v="Clerical"/>
    <s v="No"/>
    <n v="0"/>
    <x v="0"/>
    <x v="0"/>
    <n v="38"/>
    <x v="1"/>
    <x v="1"/>
    <n v="1"/>
    <m/>
  </r>
  <r>
    <n v="19477"/>
    <s v="Married"/>
    <x v="0"/>
    <n v="40000"/>
    <x v="3"/>
    <n v="0"/>
    <s v="Bachelors"/>
    <s v="Professional"/>
    <s v="Yes"/>
    <n v="0"/>
    <x v="0"/>
    <x v="0"/>
    <n v="40"/>
    <x v="0"/>
    <x v="1"/>
    <n v="1"/>
    <m/>
  </r>
  <r>
    <n v="26796"/>
    <s v="Single"/>
    <x v="0"/>
    <n v="40000"/>
    <x v="3"/>
    <n v="2"/>
    <s v="Bachelors"/>
    <s v="Management"/>
    <s v="Yes"/>
    <n v="2"/>
    <x v="2"/>
    <x v="1"/>
    <n v="65"/>
    <x v="2"/>
    <x v="1"/>
    <n v="1"/>
    <m/>
  </r>
  <r>
    <n v="22500"/>
    <s v="Single"/>
    <x v="0"/>
    <n v="40000"/>
    <x v="3"/>
    <n v="0"/>
    <s v="Bachelors"/>
    <s v="Professional"/>
    <s v="No"/>
    <n v="0"/>
    <x v="0"/>
    <x v="0"/>
    <n v="40"/>
    <x v="0"/>
    <x v="1"/>
    <n v="1"/>
    <m/>
  </r>
  <r>
    <n v="14832"/>
    <s v="Married"/>
    <x v="0"/>
    <n v="40000"/>
    <x v="3"/>
    <n v="1"/>
    <s v="Bachelors"/>
    <s v="Skilled Manual"/>
    <s v="Yes"/>
    <n v="0"/>
    <x v="0"/>
    <x v="0"/>
    <n v="42"/>
    <x v="0"/>
    <x v="1"/>
    <n v="1"/>
    <m/>
  </r>
  <r>
    <n v="20729"/>
    <s v="Married"/>
    <x v="1"/>
    <n v="40000"/>
    <x v="3"/>
    <n v="2"/>
    <s v="Partial College"/>
    <s v="Clerical"/>
    <s v="No"/>
    <n v="1"/>
    <x v="0"/>
    <x v="0"/>
    <n v="34"/>
    <x v="1"/>
    <x v="0"/>
    <b v="0"/>
    <m/>
  </r>
  <r>
    <n v="22464"/>
    <s v="Married"/>
    <x v="0"/>
    <n v="40000"/>
    <x v="3"/>
    <n v="0"/>
    <s v="Graduate Degree"/>
    <s v="Clerical"/>
    <s v="Yes"/>
    <n v="0"/>
    <x v="0"/>
    <x v="0"/>
    <n v="37"/>
    <x v="1"/>
    <x v="1"/>
    <n v="1"/>
    <m/>
  </r>
  <r>
    <n v="19475"/>
    <s v="Married"/>
    <x v="1"/>
    <n v="40000"/>
    <x v="3"/>
    <n v="0"/>
    <s v="Bachelors"/>
    <s v="Professional"/>
    <s v="No"/>
    <n v="0"/>
    <x v="0"/>
    <x v="0"/>
    <n v="40"/>
    <x v="0"/>
    <x v="1"/>
    <n v="1"/>
    <m/>
  </r>
  <r>
    <n v="24279"/>
    <s v="Single"/>
    <x v="0"/>
    <n v="40000"/>
    <x v="3"/>
    <n v="2"/>
    <s v="Partial College"/>
    <s v="Skilled Manual"/>
    <s v="No"/>
    <n v="2"/>
    <x v="1"/>
    <x v="1"/>
    <n v="52"/>
    <x v="0"/>
    <x v="0"/>
    <b v="0"/>
    <m/>
  </r>
  <r>
    <n v="19442"/>
    <s v="Single"/>
    <x v="0"/>
    <n v="50000"/>
    <x v="3"/>
    <n v="0"/>
    <s v="Graduate Degree"/>
    <s v="Skilled Manual"/>
    <s v="Yes"/>
    <n v="0"/>
    <x v="0"/>
    <x v="0"/>
    <n v="37"/>
    <x v="1"/>
    <x v="1"/>
    <n v="1"/>
    <m/>
  </r>
  <r>
    <n v="15265"/>
    <s v="Single"/>
    <x v="0"/>
    <n v="40000"/>
    <x v="3"/>
    <n v="2"/>
    <s v="Bachelors"/>
    <s v="Management"/>
    <s v="Yes"/>
    <n v="2"/>
    <x v="2"/>
    <x v="1"/>
    <n v="66"/>
    <x v="2"/>
    <x v="1"/>
    <n v="1"/>
    <m/>
  </r>
  <r>
    <n v="16209"/>
    <s v="Single"/>
    <x v="1"/>
    <n v="50000"/>
    <x v="3"/>
    <n v="0"/>
    <s v="Graduate Degree"/>
    <s v="Skilled Manual"/>
    <s v="Yes"/>
    <n v="0"/>
    <x v="1"/>
    <x v="0"/>
    <n v="36"/>
    <x v="1"/>
    <x v="0"/>
    <b v="0"/>
    <m/>
  </r>
  <r>
    <n v="18626"/>
    <s v="Single"/>
    <x v="0"/>
    <n v="40000"/>
    <x v="3"/>
    <n v="2"/>
    <s v="Partial College"/>
    <s v="Clerical"/>
    <s v="Yes"/>
    <n v="0"/>
    <x v="1"/>
    <x v="0"/>
    <n v="33"/>
    <x v="1"/>
    <x v="1"/>
    <n v="1"/>
    <m/>
  </r>
  <r>
    <n v="22633"/>
    <s v="Single"/>
    <x v="1"/>
    <n v="40000"/>
    <x v="3"/>
    <n v="0"/>
    <s v="Graduate Degree"/>
    <s v="Clerical"/>
    <s v="Yes"/>
    <n v="0"/>
    <x v="0"/>
    <x v="0"/>
    <n v="37"/>
    <x v="1"/>
    <x v="1"/>
    <n v="1"/>
    <m/>
  </r>
  <r>
    <n v="19299"/>
    <s v="Married"/>
    <x v="1"/>
    <n v="50000"/>
    <x v="3"/>
    <n v="0"/>
    <s v="Graduate Degree"/>
    <s v="Skilled Manual"/>
    <s v="Yes"/>
    <n v="0"/>
    <x v="0"/>
    <x v="0"/>
    <n v="36"/>
    <x v="1"/>
    <x v="1"/>
    <n v="1"/>
    <m/>
  </r>
  <r>
    <n v="14777"/>
    <s v="Married"/>
    <x v="1"/>
    <n v="40000"/>
    <x v="3"/>
    <n v="0"/>
    <s v="Bachelors"/>
    <s v="Clerical"/>
    <s v="Yes"/>
    <n v="0"/>
    <x v="0"/>
    <x v="0"/>
    <n v="38"/>
    <x v="1"/>
    <x v="1"/>
    <n v="1"/>
    <m/>
  </r>
  <r>
    <n v="14164"/>
    <s v="Single"/>
    <x v="1"/>
    <n v="50000"/>
    <x v="3"/>
    <n v="0"/>
    <s v="Graduate Degree"/>
    <s v="Skilled Manual"/>
    <s v="Yes"/>
    <n v="0"/>
    <x v="0"/>
    <x v="0"/>
    <n v="36"/>
    <x v="1"/>
    <x v="1"/>
    <n v="1"/>
    <m/>
  </r>
  <r>
    <n v="26219"/>
    <s v="Married"/>
    <x v="1"/>
    <n v="40000"/>
    <x v="3"/>
    <n v="1"/>
    <s v="Bachelors"/>
    <s v="Skilled Manual"/>
    <s v="Yes"/>
    <n v="1"/>
    <x v="1"/>
    <x v="0"/>
    <n v="33"/>
    <x v="1"/>
    <x v="1"/>
    <n v="1"/>
    <m/>
  </r>
  <r>
    <n v="17964"/>
    <s v="Married"/>
    <x v="0"/>
    <n v="40000"/>
    <x v="3"/>
    <n v="0"/>
    <s v="Graduate Degree"/>
    <s v="Clerical"/>
    <s v="Yes"/>
    <n v="0"/>
    <x v="0"/>
    <x v="0"/>
    <n v="37"/>
    <x v="1"/>
    <x v="1"/>
    <n v="1"/>
    <m/>
  </r>
  <r>
    <n v="21039"/>
    <s v="Single"/>
    <x v="1"/>
    <n v="50000"/>
    <x v="3"/>
    <n v="0"/>
    <s v="Graduate Degree"/>
    <s v="Skilled Manual"/>
    <s v="No"/>
    <n v="0"/>
    <x v="0"/>
    <x v="0"/>
    <n v="37"/>
    <x v="1"/>
    <x v="1"/>
    <n v="1"/>
    <m/>
  </r>
  <r>
    <n v="16406"/>
    <s v="Married"/>
    <x v="0"/>
    <n v="40000"/>
    <x v="3"/>
    <n v="0"/>
    <s v="Bachelors"/>
    <s v="Clerical"/>
    <s v="No"/>
    <n v="0"/>
    <x v="0"/>
    <x v="0"/>
    <n v="38"/>
    <x v="1"/>
    <x v="1"/>
    <n v="1"/>
    <m/>
  </r>
  <r>
    <n v="20923"/>
    <s v="Married"/>
    <x v="1"/>
    <n v="40000"/>
    <x v="3"/>
    <n v="1"/>
    <s v="Bachelors"/>
    <s v="Skilled Manual"/>
    <s v="Yes"/>
    <n v="0"/>
    <x v="0"/>
    <x v="0"/>
    <n v="42"/>
    <x v="0"/>
    <x v="1"/>
    <n v="1"/>
    <m/>
  </r>
  <r>
    <n v="17926"/>
    <s v="Single"/>
    <x v="1"/>
    <n v="40000"/>
    <x v="3"/>
    <n v="0"/>
    <s v="Bachelors"/>
    <s v="Clerical"/>
    <s v="No"/>
    <n v="0"/>
    <x v="0"/>
    <x v="1"/>
    <n v="28"/>
    <x v="1"/>
    <x v="1"/>
    <n v="1"/>
    <m/>
  </r>
  <r>
    <n v="28758"/>
    <s v="Married"/>
    <x v="0"/>
    <n v="40000"/>
    <x v="3"/>
    <n v="2"/>
    <s v="Partial College"/>
    <s v="Clerical"/>
    <s v="Yes"/>
    <n v="1"/>
    <x v="1"/>
    <x v="0"/>
    <n v="35"/>
    <x v="1"/>
    <x v="1"/>
    <n v="1"/>
    <m/>
  </r>
  <r>
    <n v="23105"/>
    <s v="Single"/>
    <x v="0"/>
    <n v="40000"/>
    <x v="3"/>
    <n v="3"/>
    <s v="Partial High School"/>
    <s v="Clerical"/>
    <s v="No"/>
    <n v="2"/>
    <x v="2"/>
    <x v="1"/>
    <n v="52"/>
    <x v="0"/>
    <x v="1"/>
    <n v="1"/>
    <m/>
  </r>
  <r>
    <n v="17352"/>
    <s v="Married"/>
    <x v="0"/>
    <n v="50000"/>
    <x v="3"/>
    <n v="2"/>
    <s v="Graduate Degree"/>
    <s v="Management"/>
    <s v="Yes"/>
    <n v="1"/>
    <x v="2"/>
    <x v="1"/>
    <n v="64"/>
    <x v="2"/>
    <x v="1"/>
    <n v="1"/>
    <m/>
  </r>
  <r>
    <n v="27760"/>
    <s v="Single"/>
    <x v="1"/>
    <n v="40000"/>
    <x v="3"/>
    <n v="0"/>
    <s v="Graduate Degree"/>
    <s v="Clerical"/>
    <s v="No"/>
    <n v="0"/>
    <x v="0"/>
    <x v="0"/>
    <n v="37"/>
    <x v="1"/>
    <x v="1"/>
    <n v="1"/>
    <m/>
  </r>
  <r>
    <n v="23780"/>
    <s v="Single"/>
    <x v="0"/>
    <n v="40000"/>
    <x v="3"/>
    <n v="2"/>
    <s v="Partial College"/>
    <s v="Clerical"/>
    <s v="No"/>
    <n v="2"/>
    <x v="0"/>
    <x v="0"/>
    <n v="36"/>
    <x v="1"/>
    <x v="1"/>
    <n v="1"/>
    <m/>
  </r>
  <r>
    <n v="14865"/>
    <s v="Single"/>
    <x v="0"/>
    <n v="40000"/>
    <x v="3"/>
    <n v="2"/>
    <s v="Partial College"/>
    <s v="Clerical"/>
    <s v="Yes"/>
    <n v="2"/>
    <x v="1"/>
    <x v="0"/>
    <n v="36"/>
    <x v="1"/>
    <x v="0"/>
    <b v="0"/>
    <m/>
  </r>
  <r>
    <n v="25651"/>
    <s v="Married"/>
    <x v="0"/>
    <n v="40000"/>
    <x v="3"/>
    <n v="1"/>
    <s v="Bachelors"/>
    <s v="Skilled Manual"/>
    <s v="No"/>
    <n v="0"/>
    <x v="0"/>
    <x v="0"/>
    <n v="43"/>
    <x v="0"/>
    <x v="1"/>
    <n v="1"/>
    <m/>
  </r>
  <r>
    <n v="26354"/>
    <s v="Single"/>
    <x v="0"/>
    <n v="40000"/>
    <x v="3"/>
    <n v="0"/>
    <s v="Graduate Degree"/>
    <s v="Clerical"/>
    <s v="No"/>
    <n v="0"/>
    <x v="0"/>
    <x v="0"/>
    <n v="38"/>
    <x v="1"/>
    <x v="1"/>
    <n v="1"/>
    <m/>
  </r>
  <r>
    <n v="13687"/>
    <s v="Married"/>
    <x v="0"/>
    <n v="40000"/>
    <x v="3"/>
    <n v="1"/>
    <s v="Bachelors"/>
    <s v="Skilled Manual"/>
    <s v="Yes"/>
    <n v="1"/>
    <x v="0"/>
    <x v="0"/>
    <n v="33"/>
    <x v="1"/>
    <x v="1"/>
    <n v="1"/>
    <m/>
  </r>
  <r>
    <n v="23571"/>
    <s v="Married"/>
    <x v="1"/>
    <n v="40000"/>
    <x v="3"/>
    <n v="2"/>
    <s v="Bachelors"/>
    <s v="Management"/>
    <s v="Yes"/>
    <n v="2"/>
    <x v="0"/>
    <x v="1"/>
    <n v="66"/>
    <x v="2"/>
    <x v="1"/>
    <n v="1"/>
    <m/>
  </r>
  <r>
    <n v="22636"/>
    <s v="Single"/>
    <x v="1"/>
    <n v="40000"/>
    <x v="3"/>
    <n v="0"/>
    <s v="Bachelors"/>
    <s v="Clerical"/>
    <s v="No"/>
    <n v="0"/>
    <x v="0"/>
    <x v="0"/>
    <n v="38"/>
    <x v="1"/>
    <x v="1"/>
    <n v="1"/>
    <m/>
  </r>
  <r>
    <n v="12510"/>
    <s v="Married"/>
    <x v="0"/>
    <n v="40000"/>
    <x v="3"/>
    <n v="1"/>
    <s v="Bachelors"/>
    <s v="Skilled Manual"/>
    <s v="Yes"/>
    <n v="1"/>
    <x v="0"/>
    <x v="0"/>
    <n v="43"/>
    <x v="0"/>
    <x v="1"/>
    <n v="1"/>
    <m/>
  </r>
  <r>
    <n v="15628"/>
    <s v="Married"/>
    <x v="1"/>
    <n v="40000"/>
    <x v="3"/>
    <n v="1"/>
    <s v="Bachelors"/>
    <s v="Skilled Manual"/>
    <s v="Yes"/>
    <n v="1"/>
    <x v="0"/>
    <x v="0"/>
    <n v="89"/>
    <x v="2"/>
    <x v="0"/>
    <b v="0"/>
    <m/>
  </r>
  <r>
    <n v="17978"/>
    <s v="Married"/>
    <x v="0"/>
    <n v="40000"/>
    <x v="3"/>
    <n v="0"/>
    <s v="Graduate Degree"/>
    <s v="Clerical"/>
    <s v="Yes"/>
    <n v="0"/>
    <x v="0"/>
    <x v="0"/>
    <n v="37"/>
    <x v="1"/>
    <x v="1"/>
    <n v="1"/>
    <m/>
  </r>
  <r>
    <n v="17793"/>
    <s v="Married"/>
    <x v="1"/>
    <n v="40000"/>
    <x v="3"/>
    <n v="0"/>
    <s v="Bachelors"/>
    <s v="Clerical"/>
    <s v="Yes"/>
    <n v="0"/>
    <x v="0"/>
    <x v="0"/>
    <n v="38"/>
    <x v="1"/>
    <x v="1"/>
    <n v="1"/>
    <m/>
  </r>
  <r>
    <n v="26167"/>
    <s v="Single"/>
    <x v="1"/>
    <n v="40000"/>
    <x v="3"/>
    <n v="2"/>
    <s v="Bachelors"/>
    <s v="Management"/>
    <s v="No"/>
    <n v="1"/>
    <x v="2"/>
    <x v="1"/>
    <n v="53"/>
    <x v="0"/>
    <x v="1"/>
    <n v="1"/>
    <m/>
  </r>
  <r>
    <n v="11555"/>
    <s v="Married"/>
    <x v="1"/>
    <n v="40000"/>
    <x v="3"/>
    <n v="1"/>
    <s v="Bachelors"/>
    <s v="Clerical"/>
    <s v="Yes"/>
    <n v="0"/>
    <x v="0"/>
    <x v="0"/>
    <n v="80"/>
    <x v="2"/>
    <x v="0"/>
    <b v="0"/>
    <m/>
  </r>
  <r>
    <n v="18012"/>
    <s v="Married"/>
    <x v="1"/>
    <n v="40000"/>
    <x v="3"/>
    <n v="1"/>
    <s v="Bachelors"/>
    <s v="Skilled Manual"/>
    <s v="Yes"/>
    <n v="0"/>
    <x v="0"/>
    <x v="0"/>
    <n v="41"/>
    <x v="0"/>
    <x v="0"/>
    <b v="0"/>
    <m/>
  </r>
  <r>
    <n v="12744"/>
    <s v="Single"/>
    <x v="1"/>
    <n v="40000"/>
    <x v="3"/>
    <n v="2"/>
    <s v="Partial College"/>
    <s v="Clerical"/>
    <s v="Yes"/>
    <n v="0"/>
    <x v="0"/>
    <x v="0"/>
    <n v="33"/>
    <x v="1"/>
    <x v="0"/>
    <b v="0"/>
    <m/>
  </r>
  <r>
    <n v="20053"/>
    <s v="Single"/>
    <x v="0"/>
    <n v="40000"/>
    <x v="3"/>
    <n v="2"/>
    <s v="Partial College"/>
    <s v="Clerical"/>
    <s v="Yes"/>
    <n v="0"/>
    <x v="0"/>
    <x v="0"/>
    <n v="34"/>
    <x v="1"/>
    <x v="0"/>
    <b v="0"/>
    <m/>
  </r>
  <r>
    <n v="17960"/>
    <s v="Married"/>
    <x v="1"/>
    <n v="40000"/>
    <x v="3"/>
    <n v="0"/>
    <s v="Graduate Degree"/>
    <s v="Clerical"/>
    <s v="Yes"/>
    <n v="0"/>
    <x v="0"/>
    <x v="0"/>
    <n v="35"/>
    <x v="1"/>
    <x v="1"/>
    <n v="1"/>
    <m/>
  </r>
  <r>
    <n v="15822"/>
    <s v="Married"/>
    <x v="0"/>
    <n v="40000"/>
    <x v="3"/>
    <n v="2"/>
    <s v="Bachelors"/>
    <s v="Management"/>
    <s v="Yes"/>
    <n v="2"/>
    <x v="0"/>
    <x v="1"/>
    <n v="67"/>
    <x v="2"/>
    <x v="0"/>
    <b v="0"/>
    <m/>
  </r>
  <r>
    <n v="21108"/>
    <s v="Married"/>
    <x v="1"/>
    <n v="40000"/>
    <x v="3"/>
    <n v="1"/>
    <s v="Bachelors"/>
    <s v="Skilled Manual"/>
    <s v="Yes"/>
    <n v="1"/>
    <x v="0"/>
    <x v="0"/>
    <n v="43"/>
    <x v="0"/>
    <x v="1"/>
    <n v="1"/>
    <m/>
  </r>
  <r>
    <n v="25307"/>
    <s v="Married"/>
    <x v="1"/>
    <n v="40000"/>
    <x v="3"/>
    <n v="1"/>
    <s v="Bachelors"/>
    <s v="Skilled Manual"/>
    <s v="Yes"/>
    <n v="1"/>
    <x v="1"/>
    <x v="0"/>
    <n v="32"/>
    <x v="1"/>
    <x v="1"/>
    <n v="1"/>
    <m/>
  </r>
  <r>
    <n v="20711"/>
    <s v="Married"/>
    <x v="1"/>
    <n v="40000"/>
    <x v="3"/>
    <n v="1"/>
    <s v="Bachelors"/>
    <s v="Skilled Manual"/>
    <s v="Yes"/>
    <n v="0"/>
    <x v="1"/>
    <x v="0"/>
    <n v="32"/>
    <x v="1"/>
    <x v="1"/>
    <n v="1"/>
    <m/>
  </r>
  <r>
    <n v="12497"/>
    <s v="Married"/>
    <x v="1"/>
    <n v="40000"/>
    <x v="3"/>
    <n v="1"/>
    <s v="Bachelors"/>
    <s v="Skilled Manual"/>
    <s v="Yes"/>
    <n v="0"/>
    <x v="0"/>
    <x v="0"/>
    <n v="42"/>
    <x v="0"/>
    <x v="0"/>
    <b v="0"/>
    <m/>
  </r>
  <r>
    <n v="11585"/>
    <s v="Married"/>
    <x v="1"/>
    <n v="40000"/>
    <x v="3"/>
    <n v="1"/>
    <s v="Bachelors"/>
    <s v="Skilled Manual"/>
    <s v="Yes"/>
    <n v="0"/>
    <x v="0"/>
    <x v="0"/>
    <n v="41"/>
    <x v="0"/>
    <x v="0"/>
    <b v="0"/>
    <m/>
  </r>
  <r>
    <n v="14791"/>
    <s v="Married"/>
    <x v="1"/>
    <n v="40000"/>
    <x v="3"/>
    <n v="0"/>
    <s v="Bachelors"/>
    <s v="Clerical"/>
    <s v="Yes"/>
    <n v="0"/>
    <x v="0"/>
    <x v="0"/>
    <n v="39"/>
    <x v="1"/>
    <x v="1"/>
    <n v="1"/>
    <m/>
  </r>
  <r>
    <n v="11149"/>
    <s v="Married"/>
    <x v="0"/>
    <n v="40000"/>
    <x v="3"/>
    <n v="2"/>
    <s v="Bachelors"/>
    <s v="Management"/>
    <s v="Yes"/>
    <n v="2"/>
    <x v="0"/>
    <x v="1"/>
    <n v="65"/>
    <x v="2"/>
    <x v="0"/>
    <b v="0"/>
    <m/>
  </r>
  <r>
    <n v="22634"/>
    <s v="Single"/>
    <x v="1"/>
    <n v="40000"/>
    <x v="3"/>
    <n v="0"/>
    <s v="Graduate Degree"/>
    <s v="Clerical"/>
    <s v="Yes"/>
    <n v="0"/>
    <x v="0"/>
    <x v="0"/>
    <n v="38"/>
    <x v="1"/>
    <x v="1"/>
    <n v="1"/>
    <m/>
  </r>
  <r>
    <n v="26984"/>
    <s v="Married"/>
    <x v="0"/>
    <n v="40000"/>
    <x v="3"/>
    <n v="1"/>
    <s v="Bachelors"/>
    <s v="Skilled Manual"/>
    <s v="Yes"/>
    <n v="1"/>
    <x v="0"/>
    <x v="0"/>
    <n v="32"/>
    <x v="1"/>
    <x v="1"/>
    <n v="1"/>
    <m/>
  </r>
  <r>
    <n v="28564"/>
    <s v="Single"/>
    <x v="1"/>
    <n v="40000"/>
    <x v="3"/>
    <n v="2"/>
    <s v="Partial College"/>
    <s v="Clerical"/>
    <s v="Yes"/>
    <n v="0"/>
    <x v="1"/>
    <x v="0"/>
    <n v="33"/>
    <x v="1"/>
    <x v="1"/>
    <n v="1"/>
    <m/>
  </r>
  <r>
    <n v="28521"/>
    <s v="Single"/>
    <x v="0"/>
    <n v="40000"/>
    <x v="3"/>
    <n v="0"/>
    <s v="Graduate Degree"/>
    <s v="Clerical"/>
    <s v="No"/>
    <n v="0"/>
    <x v="0"/>
    <x v="0"/>
    <n v="36"/>
    <x v="1"/>
    <x v="1"/>
    <n v="1"/>
    <m/>
  </r>
  <r>
    <n v="12821"/>
    <s v="Married"/>
    <x v="0"/>
    <n v="40000"/>
    <x v="3"/>
    <n v="0"/>
    <s v="Bachelors"/>
    <s v="Clerical"/>
    <s v="Yes"/>
    <n v="0"/>
    <x v="0"/>
    <x v="0"/>
    <n v="39"/>
    <x v="1"/>
    <x v="0"/>
    <b v="0"/>
    <m/>
  </r>
  <r>
    <n v="26238"/>
    <s v="Single"/>
    <x v="1"/>
    <n v="40000"/>
    <x v="3"/>
    <n v="3"/>
    <s v="Partial College"/>
    <s v="Clerical"/>
    <s v="Yes"/>
    <n v="1"/>
    <x v="1"/>
    <x v="2"/>
    <n v="31"/>
    <x v="1"/>
    <x v="1"/>
    <n v="1"/>
    <m/>
  </r>
  <r>
    <n v="26575"/>
    <s v="Single"/>
    <x v="1"/>
    <n v="40000"/>
    <x v="3"/>
    <n v="0"/>
    <s v="High School"/>
    <s v="Skilled Manual"/>
    <s v="No"/>
    <n v="2"/>
    <x v="1"/>
    <x v="2"/>
    <n v="31"/>
    <x v="1"/>
    <x v="1"/>
    <n v="1"/>
    <m/>
  </r>
  <r>
    <n v="19235"/>
    <s v="Married"/>
    <x v="1"/>
    <n v="50000"/>
    <x v="3"/>
    <n v="0"/>
    <s v="Graduate Degree"/>
    <s v="Skilled Manual"/>
    <s v="Yes"/>
    <n v="0"/>
    <x v="0"/>
    <x v="2"/>
    <n v="34"/>
    <x v="1"/>
    <x v="0"/>
    <b v="0"/>
    <m/>
  </r>
  <r>
    <n v="15275"/>
    <s v="Married"/>
    <x v="0"/>
    <n v="40000"/>
    <x v="3"/>
    <n v="0"/>
    <s v="Partial College"/>
    <s v="Skilled Manual"/>
    <s v="Yes"/>
    <n v="1"/>
    <x v="2"/>
    <x v="2"/>
    <n v="29"/>
    <x v="1"/>
    <x v="0"/>
    <b v="0"/>
    <m/>
  </r>
  <r>
    <n v="24738"/>
    <s v="Married"/>
    <x v="1"/>
    <n v="40000"/>
    <x v="3"/>
    <n v="1"/>
    <s v="Partial College"/>
    <s v="Clerical"/>
    <s v="Yes"/>
    <n v="1"/>
    <x v="1"/>
    <x v="2"/>
    <n v="51"/>
    <x v="0"/>
    <x v="1"/>
    <n v="1"/>
    <m/>
  </r>
  <r>
    <n v="19399"/>
    <s v="Single"/>
    <x v="0"/>
    <n v="40000"/>
    <x v="3"/>
    <n v="0"/>
    <s v="Bachelors"/>
    <s v="Professional"/>
    <s v="No"/>
    <n v="1"/>
    <x v="3"/>
    <x v="2"/>
    <n v="45"/>
    <x v="0"/>
    <x v="0"/>
    <b v="0"/>
    <m/>
  </r>
  <r>
    <n v="18976"/>
    <s v="Single"/>
    <x v="0"/>
    <n v="40000"/>
    <x v="3"/>
    <n v="4"/>
    <s v="High School"/>
    <s v="Professional"/>
    <s v="Yes"/>
    <n v="2"/>
    <x v="4"/>
    <x v="2"/>
    <n v="62"/>
    <x v="2"/>
    <x v="1"/>
    <n v="1"/>
    <m/>
  </r>
  <r>
    <n v="11641"/>
    <s v="Married"/>
    <x v="0"/>
    <n v="50000"/>
    <x v="3"/>
    <n v="1"/>
    <s v="Bachelors"/>
    <s v="Skilled Manual"/>
    <s v="Yes"/>
    <n v="0"/>
    <x v="0"/>
    <x v="2"/>
    <n v="36"/>
    <x v="1"/>
    <x v="0"/>
    <b v="0"/>
    <m/>
  </r>
  <r>
    <n v="24637"/>
    <s v="Married"/>
    <x v="0"/>
    <n v="40000"/>
    <x v="3"/>
    <n v="4"/>
    <s v="High School"/>
    <s v="Professional"/>
    <s v="Yes"/>
    <n v="2"/>
    <x v="4"/>
    <x v="2"/>
    <n v="64"/>
    <x v="2"/>
    <x v="0"/>
    <b v="0"/>
    <m/>
  </r>
  <r>
    <n v="23893"/>
    <s v="Married"/>
    <x v="0"/>
    <n v="50000"/>
    <x v="3"/>
    <n v="3"/>
    <s v="Bachelors"/>
    <s v="Skilled Manual"/>
    <s v="Yes"/>
    <n v="3"/>
    <x v="4"/>
    <x v="2"/>
    <n v="41"/>
    <x v="0"/>
    <x v="0"/>
    <b v="0"/>
    <m/>
  </r>
  <r>
    <n v="14900"/>
    <s v="Married"/>
    <x v="1"/>
    <n v="40000"/>
    <x v="3"/>
    <n v="1"/>
    <s v="Partial College"/>
    <s v="Clerical"/>
    <s v="Yes"/>
    <n v="1"/>
    <x v="1"/>
    <x v="2"/>
    <n v="49"/>
    <x v="0"/>
    <x v="1"/>
    <n v="1"/>
    <m/>
  </r>
  <r>
    <n v="25375"/>
    <s v="Married"/>
    <x v="0"/>
    <n v="50000"/>
    <x v="3"/>
    <n v="1"/>
    <s v="Graduate Degree"/>
    <s v="Skilled Manual"/>
    <s v="Yes"/>
    <n v="0"/>
    <x v="1"/>
    <x v="2"/>
    <n v="34"/>
    <x v="1"/>
    <x v="0"/>
    <b v="0"/>
    <m/>
  </r>
  <r>
    <n v="11143"/>
    <s v="Married"/>
    <x v="0"/>
    <n v="40000"/>
    <x v="3"/>
    <n v="0"/>
    <s v="High School"/>
    <s v="Skilled Manual"/>
    <s v="Yes"/>
    <n v="2"/>
    <x v="2"/>
    <x v="2"/>
    <n v="29"/>
    <x v="1"/>
    <x v="0"/>
    <b v="0"/>
    <m/>
  </r>
  <r>
    <n v="27393"/>
    <s v="Married"/>
    <x v="1"/>
    <n v="50000"/>
    <x v="3"/>
    <n v="4"/>
    <s v="Bachelors"/>
    <s v="Management"/>
    <s v="Yes"/>
    <n v="2"/>
    <x v="4"/>
    <x v="2"/>
    <n v="63"/>
    <x v="2"/>
    <x v="0"/>
    <b v="0"/>
    <m/>
  </r>
  <r>
    <n v="17533"/>
    <s v="Married"/>
    <x v="0"/>
    <n v="40000"/>
    <x v="3"/>
    <n v="3"/>
    <s v="Partial College"/>
    <s v="Professional"/>
    <s v="No"/>
    <n v="2"/>
    <x v="2"/>
    <x v="2"/>
    <n v="73"/>
    <x v="2"/>
    <x v="1"/>
    <n v="1"/>
    <m/>
  </r>
  <r>
    <n v="17025"/>
    <s v="Single"/>
    <x v="0"/>
    <n v="50000"/>
    <x v="3"/>
    <n v="0"/>
    <s v="Partial College"/>
    <s v="Skilled Manual"/>
    <s v="No"/>
    <n v="1"/>
    <x v="3"/>
    <x v="2"/>
    <n v="39"/>
    <x v="1"/>
    <x v="1"/>
    <n v="1"/>
    <m/>
  </r>
  <r>
    <n v="24725"/>
    <s v="Married"/>
    <x v="1"/>
    <n v="40000"/>
    <x v="3"/>
    <n v="3"/>
    <s v="Partial College"/>
    <s v="Clerical"/>
    <s v="Yes"/>
    <n v="0"/>
    <x v="1"/>
    <x v="2"/>
    <n v="31"/>
    <x v="1"/>
    <x v="0"/>
    <b v="0"/>
    <m/>
  </r>
  <r>
    <n v="23200"/>
    <s v="Married"/>
    <x v="1"/>
    <n v="50000"/>
    <x v="3"/>
    <n v="3"/>
    <s v="Bachelors"/>
    <s v="Skilled Manual"/>
    <s v="Yes"/>
    <n v="2"/>
    <x v="0"/>
    <x v="2"/>
    <n v="41"/>
    <x v="0"/>
    <x v="0"/>
    <b v="0"/>
    <m/>
  </r>
  <r>
    <n v="14495"/>
    <s v="Married"/>
    <x v="0"/>
    <n v="40000"/>
    <x v="3"/>
    <n v="3"/>
    <s v="Partial College"/>
    <s v="Professional"/>
    <s v="No"/>
    <n v="2"/>
    <x v="2"/>
    <x v="2"/>
    <n v="54"/>
    <x v="0"/>
    <x v="1"/>
    <n v="1"/>
    <m/>
  </r>
  <r>
    <n v="14754"/>
    <s v="Married"/>
    <x v="0"/>
    <n v="40000"/>
    <x v="3"/>
    <n v="1"/>
    <s v="Partial College"/>
    <s v="Clerical"/>
    <s v="Yes"/>
    <n v="1"/>
    <x v="1"/>
    <x v="2"/>
    <n v="48"/>
    <x v="0"/>
    <x v="1"/>
    <n v="1"/>
    <m/>
  </r>
  <r>
    <n v="26452"/>
    <s v="Single"/>
    <x v="0"/>
    <n v="50000"/>
    <x v="3"/>
    <n v="3"/>
    <s v="Graduate Degree"/>
    <s v="Management"/>
    <s v="Yes"/>
    <n v="2"/>
    <x v="4"/>
    <x v="2"/>
    <n v="69"/>
    <x v="2"/>
    <x v="0"/>
    <b v="0"/>
    <m/>
  </r>
  <r>
    <n v="20528"/>
    <s v="Married"/>
    <x v="0"/>
    <n v="40000"/>
    <x v="3"/>
    <n v="2"/>
    <s v="Partial High School"/>
    <s v="Skilled Manual"/>
    <s v="Yes"/>
    <n v="2"/>
    <x v="3"/>
    <x v="2"/>
    <n v="55"/>
    <x v="0"/>
    <x v="0"/>
    <b v="0"/>
    <m/>
  </r>
  <r>
    <n v="18752"/>
    <s v="Single"/>
    <x v="1"/>
    <n v="40000"/>
    <x v="3"/>
    <n v="0"/>
    <s v="High School"/>
    <s v="Skilled Manual"/>
    <s v="Yes"/>
    <n v="1"/>
    <x v="2"/>
    <x v="2"/>
    <n v="31"/>
    <x v="1"/>
    <x v="0"/>
    <b v="0"/>
    <m/>
  </r>
  <r>
    <n v="25329"/>
    <s v="Single"/>
    <x v="1"/>
    <n v="40000"/>
    <x v="3"/>
    <n v="3"/>
    <s v="Partial College"/>
    <s v="Clerical"/>
    <s v="No"/>
    <n v="2"/>
    <x v="0"/>
    <x v="2"/>
    <n v="32"/>
    <x v="1"/>
    <x v="0"/>
    <b v="0"/>
    <m/>
  </r>
  <r>
    <n v="23089"/>
    <s v="Married"/>
    <x v="0"/>
    <n v="40000"/>
    <x v="3"/>
    <n v="0"/>
    <s v="Partial College"/>
    <s v="Skilled Manual"/>
    <s v="Yes"/>
    <n v="1"/>
    <x v="2"/>
    <x v="2"/>
    <n v="28"/>
    <x v="1"/>
    <x v="0"/>
    <b v="0"/>
    <m/>
  </r>
  <r>
    <n v="18545"/>
    <s v="Married"/>
    <x v="0"/>
    <n v="40000"/>
    <x v="3"/>
    <n v="4"/>
    <s v="High School"/>
    <s v="Professional"/>
    <s v="No"/>
    <n v="2"/>
    <x v="4"/>
    <x v="2"/>
    <n v="61"/>
    <x v="2"/>
    <x v="1"/>
    <n v="1"/>
    <m/>
  </r>
  <r>
    <n v="28997"/>
    <s v="Single"/>
    <x v="0"/>
    <n v="40000"/>
    <x v="3"/>
    <n v="2"/>
    <s v="High School"/>
    <s v="Professional"/>
    <s v="No"/>
    <n v="1"/>
    <x v="3"/>
    <x v="2"/>
    <n v="58"/>
    <x v="0"/>
    <x v="1"/>
    <n v="1"/>
    <m/>
  </r>
  <r>
    <n v="25261"/>
    <s v="Married"/>
    <x v="0"/>
    <n v="40000"/>
    <x v="3"/>
    <n v="0"/>
    <s v="High School"/>
    <s v="Skilled Manual"/>
    <s v="Yes"/>
    <n v="2"/>
    <x v="2"/>
    <x v="2"/>
    <n v="27"/>
    <x v="1"/>
    <x v="0"/>
    <b v="0"/>
    <m/>
  </r>
  <r>
    <n v="11644"/>
    <s v="Single"/>
    <x v="0"/>
    <n v="40000"/>
    <x v="3"/>
    <n v="2"/>
    <s v="Bachelors"/>
    <s v="Skilled Manual"/>
    <s v="Yes"/>
    <n v="0"/>
    <x v="3"/>
    <x v="2"/>
    <n v="36"/>
    <x v="1"/>
    <x v="0"/>
    <b v="0"/>
    <m/>
  </r>
  <r>
    <n v="17858"/>
    <s v="Married"/>
    <x v="0"/>
    <n v="40000"/>
    <x v="3"/>
    <n v="4"/>
    <s v="High School"/>
    <s v="Skilled Manual"/>
    <s v="Yes"/>
    <n v="2"/>
    <x v="3"/>
    <x v="2"/>
    <n v="44"/>
    <x v="0"/>
    <x v="1"/>
    <n v="1"/>
    <m/>
  </r>
  <r>
    <n v="15814"/>
    <s v="Single"/>
    <x v="1"/>
    <n v="40000"/>
    <x v="3"/>
    <n v="0"/>
    <s v="High School"/>
    <s v="Skilled Manual"/>
    <s v="Yes"/>
    <n v="1"/>
    <x v="2"/>
    <x v="2"/>
    <n v="30"/>
    <x v="1"/>
    <x v="0"/>
    <b v="0"/>
    <m/>
  </r>
  <r>
    <n v="28815"/>
    <s v="Married"/>
    <x v="1"/>
    <n v="50000"/>
    <x v="3"/>
    <n v="1"/>
    <s v="Graduate Degree"/>
    <s v="Skilled Manual"/>
    <s v="Yes"/>
    <n v="0"/>
    <x v="0"/>
    <x v="2"/>
    <n v="35"/>
    <x v="1"/>
    <x v="0"/>
    <b v="0"/>
    <m/>
  </r>
  <r>
    <n v="27753"/>
    <s v="Married"/>
    <x v="0"/>
    <n v="40000"/>
    <x v="3"/>
    <n v="0"/>
    <s v="High School"/>
    <s v="Skilled Manual"/>
    <s v="No"/>
    <n v="2"/>
    <x v="1"/>
    <x v="2"/>
    <n v="30"/>
    <x v="1"/>
    <x v="0"/>
    <b v="0"/>
    <m/>
  </r>
  <r>
    <n v="15272"/>
    <s v="Single"/>
    <x v="0"/>
    <n v="40000"/>
    <x v="3"/>
    <n v="0"/>
    <s v="High School"/>
    <s v="Skilled Manual"/>
    <s v="No"/>
    <n v="2"/>
    <x v="1"/>
    <x v="2"/>
    <n v="30"/>
    <x v="1"/>
    <x v="0"/>
    <b v="0"/>
    <m/>
  </r>
  <r>
    <n v="21441"/>
    <s v="Married"/>
    <x v="0"/>
    <n v="50000"/>
    <x v="3"/>
    <n v="4"/>
    <s v="Bachelors"/>
    <s v="Management"/>
    <s v="Yes"/>
    <n v="2"/>
    <x v="4"/>
    <x v="2"/>
    <n v="64"/>
    <x v="2"/>
    <x v="0"/>
    <b v="0"/>
    <m/>
  </r>
  <r>
    <n v="22010"/>
    <s v="Single"/>
    <x v="0"/>
    <n v="40000"/>
    <x v="3"/>
    <n v="0"/>
    <s v="High School"/>
    <s v="Skilled Manual"/>
    <s v="Yes"/>
    <n v="2"/>
    <x v="2"/>
    <x v="2"/>
    <n v="31"/>
    <x v="1"/>
    <x v="0"/>
    <b v="0"/>
    <m/>
  </r>
  <r>
    <n v="29106"/>
    <s v="Single"/>
    <x v="0"/>
    <n v="40000"/>
    <x v="3"/>
    <n v="0"/>
    <s v="High School"/>
    <s v="Skilled Manual"/>
    <s v="No"/>
    <n v="2"/>
    <x v="1"/>
    <x v="2"/>
    <n v="31"/>
    <x v="1"/>
    <x v="1"/>
    <n v="1"/>
    <m/>
  </r>
  <r>
    <n v="26236"/>
    <s v="Married"/>
    <x v="1"/>
    <n v="40000"/>
    <x v="3"/>
    <n v="3"/>
    <s v="Partial College"/>
    <s v="Clerical"/>
    <s v="Yes"/>
    <n v="1"/>
    <x v="0"/>
    <x v="2"/>
    <n v="31"/>
    <x v="1"/>
    <x v="0"/>
    <b v="0"/>
    <m/>
  </r>
  <r>
    <n v="19133"/>
    <s v="Single"/>
    <x v="0"/>
    <n v="50000"/>
    <x v="3"/>
    <n v="2"/>
    <s v="Bachelors"/>
    <s v="Skilled Manual"/>
    <s v="Yes"/>
    <n v="1"/>
    <x v="3"/>
    <x v="2"/>
    <n v="38"/>
    <x v="1"/>
    <x v="1"/>
    <n v="1"/>
    <m/>
  </r>
  <r>
    <n v="22976"/>
    <s v="Single"/>
    <x v="0"/>
    <n v="40000"/>
    <x v="3"/>
    <n v="0"/>
    <s v="High School"/>
    <s v="Skilled Manual"/>
    <s v="No"/>
    <n v="2"/>
    <x v="0"/>
    <x v="2"/>
    <n v="28"/>
    <x v="1"/>
    <x v="1"/>
    <n v="1"/>
    <m/>
  </r>
  <r>
    <n v="20505"/>
    <s v="Married"/>
    <x v="1"/>
    <n v="40000"/>
    <x v="3"/>
    <n v="5"/>
    <s v="High School"/>
    <s v="Professional"/>
    <s v="No"/>
    <n v="2"/>
    <x v="4"/>
    <x v="2"/>
    <n v="61"/>
    <x v="2"/>
    <x v="0"/>
    <b v="0"/>
    <m/>
  </r>
  <r>
    <n v="21260"/>
    <s v="Single"/>
    <x v="1"/>
    <n v="40000"/>
    <x v="3"/>
    <n v="0"/>
    <s v="High School"/>
    <s v="Skilled Manual"/>
    <s v="Yes"/>
    <n v="2"/>
    <x v="2"/>
    <x v="2"/>
    <n v="30"/>
    <x v="1"/>
    <x v="0"/>
    <b v="0"/>
    <m/>
  </r>
  <r>
    <n v="21717"/>
    <s v="Married"/>
    <x v="0"/>
    <n v="40000"/>
    <x v="3"/>
    <n v="2"/>
    <s v="Partial College"/>
    <s v="Clerical"/>
    <s v="Yes"/>
    <n v="1"/>
    <x v="0"/>
    <x v="2"/>
    <n v="47"/>
    <x v="0"/>
    <x v="0"/>
    <b v="0"/>
    <m/>
  </r>
  <r>
    <n v="12774"/>
    <s v="Married"/>
    <x v="1"/>
    <n v="40000"/>
    <x v="3"/>
    <n v="1"/>
    <s v="Partial College"/>
    <s v="Clerical"/>
    <s v="Yes"/>
    <n v="1"/>
    <x v="1"/>
    <x v="2"/>
    <n v="51"/>
    <x v="0"/>
    <x v="1"/>
    <n v="1"/>
    <m/>
  </r>
  <r>
    <n v="23144"/>
    <s v="Married"/>
    <x v="0"/>
    <n v="50000"/>
    <x v="3"/>
    <n v="1"/>
    <s v="Bachelors"/>
    <s v="Skilled Manual"/>
    <s v="Yes"/>
    <n v="0"/>
    <x v="0"/>
    <x v="2"/>
    <n v="34"/>
    <x v="1"/>
    <x v="1"/>
    <n v="1"/>
    <m/>
  </r>
  <r>
    <n v="11619"/>
    <s v="Single"/>
    <x v="1"/>
    <n v="50000"/>
    <x v="3"/>
    <n v="0"/>
    <s v="Graduate Degree"/>
    <s v="Skilled Manual"/>
    <s v="Yes"/>
    <n v="0"/>
    <x v="1"/>
    <x v="2"/>
    <n v="33"/>
    <x v="1"/>
    <x v="0"/>
    <b v="0"/>
    <m/>
  </r>
  <r>
    <n v="29132"/>
    <s v="Single"/>
    <x v="1"/>
    <n v="40000"/>
    <x v="3"/>
    <n v="0"/>
    <s v="Bachelors"/>
    <s v="Professional"/>
    <s v="Yes"/>
    <n v="1"/>
    <x v="3"/>
    <x v="2"/>
    <n v="42"/>
    <x v="0"/>
    <x v="1"/>
    <n v="1"/>
    <m/>
  </r>
  <r>
    <n v="28026"/>
    <s v="Married"/>
    <x v="1"/>
    <n v="40000"/>
    <x v="3"/>
    <n v="2"/>
    <s v="High School"/>
    <s v="Professional"/>
    <s v="No"/>
    <n v="2"/>
    <x v="3"/>
    <x v="2"/>
    <n v="59"/>
    <x v="0"/>
    <x v="0"/>
    <b v="0"/>
    <m/>
  </r>
  <r>
    <n v="16020"/>
    <s v="Married"/>
    <x v="0"/>
    <n v="40000"/>
    <x v="3"/>
    <n v="0"/>
    <s v="High School"/>
    <s v="Skilled Manual"/>
    <s v="Yes"/>
    <n v="2"/>
    <x v="2"/>
    <x v="2"/>
    <n v="28"/>
    <x v="1"/>
    <x v="1"/>
    <n v="1"/>
    <m/>
  </r>
  <r>
    <n v="24958"/>
    <s v="Single"/>
    <x v="1"/>
    <n v="40000"/>
    <x v="3"/>
    <n v="5"/>
    <s v="High School"/>
    <s v="Professional"/>
    <s v="No"/>
    <n v="3"/>
    <x v="3"/>
    <x v="2"/>
    <n v="60"/>
    <x v="2"/>
    <x v="1"/>
    <n v="1"/>
    <m/>
  </r>
  <r>
    <n v="27731"/>
    <s v="Married"/>
    <x v="0"/>
    <n v="40000"/>
    <x v="3"/>
    <n v="0"/>
    <s v="High School"/>
    <s v="Skilled Manual"/>
    <s v="Yes"/>
    <n v="2"/>
    <x v="2"/>
    <x v="2"/>
    <n v="27"/>
    <x v="1"/>
    <x v="0"/>
    <b v="0"/>
    <m/>
  </r>
  <r>
    <n v="19634"/>
    <s v="Married"/>
    <x v="0"/>
    <n v="40000"/>
    <x v="3"/>
    <n v="0"/>
    <s v="High School"/>
    <s v="Skilled Manual"/>
    <s v="Yes"/>
    <n v="1"/>
    <x v="2"/>
    <x v="2"/>
    <n v="31"/>
    <x v="1"/>
    <x v="0"/>
    <b v="0"/>
    <m/>
  </r>
  <r>
    <n v="28799"/>
    <s v="Single"/>
    <x v="1"/>
    <n v="40000"/>
    <x v="3"/>
    <n v="2"/>
    <s v="Partial College"/>
    <s v="Clerical"/>
    <s v="No"/>
    <n v="1"/>
    <x v="1"/>
    <x v="2"/>
    <n v="47"/>
    <x v="0"/>
    <x v="1"/>
    <n v="1"/>
    <m/>
  </r>
  <r>
    <n v="17657"/>
    <s v="Married"/>
    <x v="0"/>
    <n v="40000"/>
    <x v="3"/>
    <n v="4"/>
    <s v="Partial College"/>
    <s v="Clerical"/>
    <s v="No"/>
    <n v="0"/>
    <x v="0"/>
    <x v="2"/>
    <n v="30"/>
    <x v="1"/>
    <x v="0"/>
    <b v="0"/>
    <m/>
  </r>
  <r>
    <n v="14913"/>
    <s v="Married"/>
    <x v="1"/>
    <n v="40000"/>
    <x v="3"/>
    <n v="1"/>
    <s v="Partial College"/>
    <s v="Clerical"/>
    <s v="Yes"/>
    <n v="1"/>
    <x v="1"/>
    <x v="2"/>
    <n v="48"/>
    <x v="0"/>
    <x v="1"/>
    <n v="1"/>
    <m/>
  </r>
  <r>
    <n v="28087"/>
    <s v="Single"/>
    <x v="1"/>
    <n v="40000"/>
    <x v="3"/>
    <n v="0"/>
    <s v="Partial College"/>
    <s v="Skilled Manual"/>
    <s v="No"/>
    <n v="1"/>
    <x v="1"/>
    <x v="2"/>
    <n v="27"/>
    <x v="1"/>
    <x v="0"/>
    <b v="0"/>
    <m/>
  </r>
  <r>
    <n v="23668"/>
    <s v="Married"/>
    <x v="1"/>
    <n v="40000"/>
    <x v="3"/>
    <n v="4"/>
    <s v="High School"/>
    <s v="Professional"/>
    <s v="Yes"/>
    <n v="2"/>
    <x v="2"/>
    <x v="2"/>
    <n v="59"/>
    <x v="0"/>
    <x v="1"/>
    <n v="1"/>
    <m/>
  </r>
  <r>
    <n v="27261"/>
    <s v="Married"/>
    <x v="0"/>
    <n v="40000"/>
    <x v="3"/>
    <n v="1"/>
    <s v="Bachelors"/>
    <s v="Skilled Manual"/>
    <s v="No"/>
    <n v="1"/>
    <x v="0"/>
    <x v="2"/>
    <n v="36"/>
    <x v="1"/>
    <x v="1"/>
    <n v="1"/>
    <m/>
  </r>
  <r>
    <n v="20657"/>
    <s v="Single"/>
    <x v="0"/>
    <n v="50000"/>
    <x v="3"/>
    <n v="2"/>
    <s v="Bachelors"/>
    <s v="Skilled Manual"/>
    <s v="Yes"/>
    <n v="0"/>
    <x v="3"/>
    <x v="2"/>
    <n v="37"/>
    <x v="1"/>
    <x v="1"/>
    <n v="1"/>
    <m/>
  </r>
  <r>
    <n v="12882"/>
    <s v="Married"/>
    <x v="0"/>
    <n v="50000"/>
    <x v="3"/>
    <n v="1"/>
    <s v="Graduate Degree"/>
    <s v="Skilled Manual"/>
    <s v="Yes"/>
    <n v="0"/>
    <x v="0"/>
    <x v="2"/>
    <n v="33"/>
    <x v="1"/>
    <x v="1"/>
    <n v="1"/>
    <m/>
  </r>
  <r>
    <n v="14608"/>
    <s v="Married"/>
    <x v="0"/>
    <n v="50000"/>
    <x v="3"/>
    <n v="4"/>
    <s v="Bachelors"/>
    <s v="Skilled Manual"/>
    <s v="Yes"/>
    <n v="3"/>
    <x v="4"/>
    <x v="2"/>
    <n v="42"/>
    <x v="0"/>
    <x v="0"/>
    <b v="0"/>
    <m/>
  </r>
  <r>
    <n v="13151"/>
    <s v="Single"/>
    <x v="0"/>
    <n v="40000"/>
    <x v="3"/>
    <n v="0"/>
    <s v="High School"/>
    <s v="Skilled Manual"/>
    <s v="Yes"/>
    <n v="2"/>
    <x v="2"/>
    <x v="2"/>
    <n v="27"/>
    <x v="1"/>
    <x v="0"/>
    <b v="0"/>
    <m/>
  </r>
  <r>
    <n v="24496"/>
    <s v="Single"/>
    <x v="1"/>
    <n v="40000"/>
    <x v="3"/>
    <n v="0"/>
    <s v="High School"/>
    <s v="Skilled Manual"/>
    <s v="No"/>
    <n v="2"/>
    <x v="0"/>
    <x v="2"/>
    <n v="28"/>
    <x v="1"/>
    <x v="1"/>
    <n v="1"/>
    <m/>
  </r>
  <r>
    <n v="15468"/>
    <s v="Married"/>
    <x v="1"/>
    <n v="50000"/>
    <x v="3"/>
    <n v="1"/>
    <s v="Bachelors"/>
    <s v="Skilled Manual"/>
    <s v="Yes"/>
    <n v="1"/>
    <x v="0"/>
    <x v="2"/>
    <n v="35"/>
    <x v="1"/>
    <x v="0"/>
    <b v="0"/>
    <m/>
  </r>
  <r>
    <n v="18363"/>
    <s v="Married"/>
    <x v="0"/>
    <n v="40000"/>
    <x v="3"/>
    <n v="0"/>
    <s v="High School"/>
    <s v="Skilled Manual"/>
    <s v="Yes"/>
    <n v="2"/>
    <x v="2"/>
    <x v="2"/>
    <n v="28"/>
    <x v="1"/>
    <x v="1"/>
    <n v="1"/>
    <m/>
  </r>
  <r>
    <n v="20361"/>
    <s v="Married"/>
    <x v="0"/>
    <n v="50000"/>
    <x v="3"/>
    <n v="2"/>
    <s v="Graduate Degree"/>
    <s v="Management"/>
    <s v="Yes"/>
    <n v="2"/>
    <x v="2"/>
    <x v="2"/>
    <n v="69"/>
    <x v="2"/>
    <x v="0"/>
    <b v="0"/>
    <m/>
  </r>
  <r>
    <n v="15287"/>
    <s v="Single"/>
    <x v="1"/>
    <n v="50000"/>
    <x v="3"/>
    <n v="1"/>
    <s v="Graduate Degree"/>
    <s v="Skilled Manual"/>
    <s v="Yes"/>
    <n v="0"/>
    <x v="1"/>
    <x v="2"/>
    <n v="33"/>
    <x v="1"/>
    <x v="1"/>
    <n v="1"/>
    <m/>
  </r>
  <r>
    <n v="28090"/>
    <s v="Married"/>
    <x v="0"/>
    <n v="40000"/>
    <x v="3"/>
    <n v="0"/>
    <s v="Partial College"/>
    <s v="Skilled Manual"/>
    <s v="Yes"/>
    <n v="1"/>
    <x v="2"/>
    <x v="2"/>
    <n v="27"/>
    <x v="1"/>
    <x v="0"/>
    <b v="0"/>
    <m/>
  </r>
  <r>
    <n v="15255"/>
    <s v="Married"/>
    <x v="0"/>
    <n v="40000"/>
    <x v="3"/>
    <n v="0"/>
    <s v="High School"/>
    <s v="Skilled Manual"/>
    <s v="Yes"/>
    <n v="2"/>
    <x v="2"/>
    <x v="2"/>
    <n v="28"/>
    <x v="1"/>
    <x v="1"/>
    <n v="1"/>
    <m/>
  </r>
  <r>
    <n v="13154"/>
    <s v="Married"/>
    <x v="0"/>
    <n v="40000"/>
    <x v="3"/>
    <n v="0"/>
    <s v="High School"/>
    <s v="Skilled Manual"/>
    <s v="No"/>
    <n v="2"/>
    <x v="0"/>
    <x v="2"/>
    <n v="27"/>
    <x v="1"/>
    <x v="1"/>
    <n v="1"/>
    <m/>
  </r>
  <r>
    <n v="26778"/>
    <s v="Single"/>
    <x v="1"/>
    <n v="40000"/>
    <x v="3"/>
    <n v="0"/>
    <s v="High School"/>
    <s v="Skilled Manual"/>
    <s v="Yes"/>
    <n v="2"/>
    <x v="2"/>
    <x v="2"/>
    <n v="31"/>
    <x v="1"/>
    <x v="0"/>
    <b v="0"/>
    <m/>
  </r>
  <r>
    <n v="27994"/>
    <s v="Married"/>
    <x v="1"/>
    <n v="40000"/>
    <x v="3"/>
    <n v="4"/>
    <s v="High School"/>
    <s v="Professional"/>
    <s v="Yes"/>
    <n v="2"/>
    <x v="2"/>
    <x v="2"/>
    <n v="69"/>
    <x v="2"/>
    <x v="0"/>
    <b v="0"/>
    <m/>
  </r>
  <r>
    <n v="23333"/>
    <s v="Married"/>
    <x v="0"/>
    <n v="40000"/>
    <x v="3"/>
    <n v="0"/>
    <s v="Partial College"/>
    <s v="Skilled Manual"/>
    <s v="No"/>
    <n v="2"/>
    <x v="1"/>
    <x v="2"/>
    <n v="30"/>
    <x v="1"/>
    <x v="0"/>
    <b v="0"/>
    <m/>
  </r>
  <r>
    <n v="24514"/>
    <s v="Married"/>
    <x v="0"/>
    <n v="40000"/>
    <x v="3"/>
    <n v="0"/>
    <s v="Partial College"/>
    <s v="Skilled Manual"/>
    <s v="Yes"/>
    <n v="1"/>
    <x v="2"/>
    <x v="2"/>
    <n v="30"/>
    <x v="1"/>
    <x v="0"/>
    <b v="0"/>
    <m/>
  </r>
  <r>
    <n v="27505"/>
    <s v="Single"/>
    <x v="1"/>
    <n v="40000"/>
    <x v="3"/>
    <n v="0"/>
    <s v="High School"/>
    <s v="Skilled Manual"/>
    <s v="Yes"/>
    <n v="2"/>
    <x v="2"/>
    <x v="2"/>
    <n v="30"/>
    <x v="1"/>
    <x v="0"/>
    <b v="0"/>
    <m/>
  </r>
  <r>
    <n v="20421"/>
    <s v="Single"/>
    <x v="1"/>
    <n v="40000"/>
    <x v="3"/>
    <n v="0"/>
    <s v="Partial High School"/>
    <s v="Clerical"/>
    <s v="Yes"/>
    <n v="2"/>
    <x v="2"/>
    <x v="2"/>
    <n v="26"/>
    <x v="1"/>
    <x v="0"/>
    <b v="0"/>
    <m/>
  </r>
  <r>
    <n v="18891"/>
    <s v="Married"/>
    <x v="1"/>
    <n v="40000"/>
    <x v="3"/>
    <n v="0"/>
    <s v="Partial College"/>
    <s v="Skilled Manual"/>
    <s v="Yes"/>
    <n v="2"/>
    <x v="2"/>
    <x v="2"/>
    <n v="28"/>
    <x v="1"/>
    <x v="0"/>
    <b v="0"/>
    <m/>
  </r>
  <r>
    <n v="22743"/>
    <s v="Married"/>
    <x v="1"/>
    <n v="40000"/>
    <x v="3"/>
    <n v="5"/>
    <s v="High School"/>
    <s v="Professional"/>
    <s v="Yes"/>
    <n v="2"/>
    <x v="4"/>
    <x v="2"/>
    <n v="60"/>
    <x v="2"/>
    <x v="0"/>
    <b v="0"/>
    <m/>
  </r>
  <r>
    <n v="17482"/>
    <s v="Single"/>
    <x v="1"/>
    <n v="40000"/>
    <x v="3"/>
    <n v="0"/>
    <s v="Partial High School"/>
    <s v="Clerical"/>
    <s v="Yes"/>
    <n v="2"/>
    <x v="2"/>
    <x v="2"/>
    <n v="29"/>
    <x v="1"/>
    <x v="0"/>
    <b v="0"/>
    <m/>
  </r>
  <r>
    <n v="20504"/>
    <s v="Married"/>
    <x v="1"/>
    <n v="40000"/>
    <x v="3"/>
    <n v="5"/>
    <s v="High School"/>
    <s v="Professional"/>
    <s v="No"/>
    <n v="2"/>
    <x v="3"/>
    <x v="2"/>
    <n v="60"/>
    <x v="2"/>
    <x v="0"/>
    <b v="0"/>
    <m/>
  </r>
  <r>
    <n v="21613"/>
    <s v="Single"/>
    <x v="0"/>
    <n v="50000"/>
    <x v="3"/>
    <n v="2"/>
    <s v="Bachelors"/>
    <s v="Skilled Manual"/>
    <s v="No"/>
    <n v="1"/>
    <x v="0"/>
    <x v="2"/>
    <n v="39"/>
    <x v="1"/>
    <x v="1"/>
    <n v="1"/>
    <m/>
  </r>
  <r>
    <n v="29052"/>
    <s v="Single"/>
    <x v="0"/>
    <n v="40000"/>
    <x v="3"/>
    <n v="0"/>
    <s v="Partial College"/>
    <s v="Skilled Manual"/>
    <s v="Yes"/>
    <n v="1"/>
    <x v="2"/>
    <x v="2"/>
    <n v="27"/>
    <x v="1"/>
    <x v="0"/>
    <b v="0"/>
    <m/>
  </r>
  <r>
    <n v="19147"/>
    <s v="Married"/>
    <x v="0"/>
    <n v="40000"/>
    <x v="3"/>
    <n v="0"/>
    <s v="Bachelors"/>
    <s v="Professional"/>
    <s v="No"/>
    <n v="1"/>
    <x v="0"/>
    <x v="2"/>
    <n v="42"/>
    <x v="0"/>
    <x v="0"/>
    <b v="0"/>
    <m/>
  </r>
  <r>
    <n v="22330"/>
    <s v="Married"/>
    <x v="0"/>
    <n v="50000"/>
    <x v="3"/>
    <n v="0"/>
    <s v="Graduate Degree"/>
    <s v="Skilled Manual"/>
    <s v="Yes"/>
    <n v="0"/>
    <x v="1"/>
    <x v="2"/>
    <n v="32"/>
    <x v="1"/>
    <x v="1"/>
    <n v="1"/>
    <m/>
  </r>
  <r>
    <n v="25041"/>
    <s v="Single"/>
    <x v="0"/>
    <n v="40000"/>
    <x v="3"/>
    <n v="0"/>
    <s v="High School"/>
    <s v="Skilled Manual"/>
    <s v="Yes"/>
    <n v="2"/>
    <x v="2"/>
    <x v="2"/>
    <n v="31"/>
    <x v="1"/>
    <x v="0"/>
    <b v="0"/>
    <m/>
  </r>
  <r>
    <n v="23197"/>
    <s v="Married"/>
    <x v="0"/>
    <n v="50000"/>
    <x v="3"/>
    <n v="3"/>
    <s v="Bachelors"/>
    <s v="Skilled Manual"/>
    <s v="Yes"/>
    <n v="2"/>
    <x v="3"/>
    <x v="2"/>
    <n v="40"/>
    <x v="0"/>
    <x v="0"/>
    <b v="0"/>
    <m/>
  </r>
  <r>
    <n v="28278"/>
    <s v="Married"/>
    <x v="0"/>
    <n v="50000"/>
    <x v="3"/>
    <n v="2"/>
    <s v="Graduate Degree"/>
    <s v="Management"/>
    <s v="Yes"/>
    <n v="2"/>
    <x v="2"/>
    <x v="2"/>
    <n v="71"/>
    <x v="2"/>
    <x v="0"/>
    <b v="0"/>
    <m/>
  </r>
  <r>
    <n v="11622"/>
    <s v="Married"/>
    <x v="0"/>
    <n v="50000"/>
    <x v="3"/>
    <n v="0"/>
    <s v="Graduate Degree"/>
    <s v="Skilled Manual"/>
    <s v="Yes"/>
    <n v="0"/>
    <x v="0"/>
    <x v="2"/>
    <n v="32"/>
    <x v="1"/>
    <x v="0"/>
    <b v="0"/>
    <m/>
  </r>
  <r>
    <n v="19228"/>
    <s v="Married"/>
    <x v="1"/>
    <n v="40000"/>
    <x v="3"/>
    <n v="2"/>
    <s v="Partial College"/>
    <s v="Clerical"/>
    <s v="Yes"/>
    <n v="1"/>
    <x v="0"/>
    <x v="2"/>
    <n v="48"/>
    <x v="0"/>
    <x v="0"/>
    <b v="0"/>
    <m/>
  </r>
  <r>
    <n v="20401"/>
    <s v="Married"/>
    <x v="1"/>
    <n v="50000"/>
    <x v="3"/>
    <n v="4"/>
    <s v="Bachelors"/>
    <s v="Management"/>
    <s v="Yes"/>
    <n v="2"/>
    <x v="1"/>
    <x v="2"/>
    <n v="64"/>
    <x v="2"/>
    <x v="1"/>
    <n v="1"/>
    <m/>
  </r>
  <r>
    <n v="21583"/>
    <s v="Married"/>
    <x v="1"/>
    <n v="50000"/>
    <x v="3"/>
    <n v="1"/>
    <s v="Bachelors"/>
    <s v="Skilled Manual"/>
    <s v="Yes"/>
    <n v="0"/>
    <x v="0"/>
    <x v="2"/>
    <n v="34"/>
    <x v="1"/>
    <x v="1"/>
    <n v="1"/>
    <m/>
  </r>
  <r>
    <n v="16122"/>
    <s v="Married"/>
    <x v="0"/>
    <n v="40000"/>
    <x v="3"/>
    <n v="4"/>
    <s v="High School"/>
    <s v="Skilled Manual"/>
    <s v="Yes"/>
    <n v="2"/>
    <x v="0"/>
    <x v="2"/>
    <n v="44"/>
    <x v="0"/>
    <x v="1"/>
    <n v="1"/>
    <m/>
  </r>
  <r>
    <n v="19747"/>
    <s v="Married"/>
    <x v="0"/>
    <n v="50000"/>
    <x v="3"/>
    <n v="4"/>
    <s v="Bachelors"/>
    <s v="Management"/>
    <s v="Yes"/>
    <n v="2"/>
    <x v="4"/>
    <x v="2"/>
    <n v="63"/>
    <x v="2"/>
    <x v="0"/>
    <b v="0"/>
    <m/>
  </r>
  <r>
    <n v="23195"/>
    <s v="Single"/>
    <x v="0"/>
    <n v="50000"/>
    <x v="3"/>
    <n v="3"/>
    <s v="Bachelors"/>
    <s v="Skilled Manual"/>
    <s v="Yes"/>
    <n v="2"/>
    <x v="3"/>
    <x v="2"/>
    <n v="41"/>
    <x v="0"/>
    <x v="1"/>
    <n v="1"/>
    <m/>
  </r>
  <r>
    <n v="13934"/>
    <s v="Married"/>
    <x v="0"/>
    <n v="40000"/>
    <x v="3"/>
    <n v="4"/>
    <s v="High School"/>
    <s v="Skilled Manual"/>
    <s v="Yes"/>
    <n v="2"/>
    <x v="3"/>
    <x v="2"/>
    <n v="46"/>
    <x v="0"/>
    <x v="0"/>
    <b v="0"/>
    <m/>
  </r>
  <r>
    <n v="27190"/>
    <s v="Married"/>
    <x v="1"/>
    <n v="40000"/>
    <x v="3"/>
    <n v="3"/>
    <s v="Partial College"/>
    <s v="Clerical"/>
    <s v="Yes"/>
    <n v="1"/>
    <x v="1"/>
    <x v="2"/>
    <n v="32"/>
    <x v="1"/>
    <x v="0"/>
    <b v="0"/>
    <m/>
  </r>
  <r>
    <n v="21451"/>
    <s v="Married"/>
    <x v="1"/>
    <n v="40000"/>
    <x v="3"/>
    <n v="4"/>
    <s v="High School"/>
    <s v="Professional"/>
    <s v="Yes"/>
    <n v="2"/>
    <x v="4"/>
    <x v="2"/>
    <n v="61"/>
    <x v="2"/>
    <x v="0"/>
    <b v="0"/>
    <m/>
  </r>
  <r>
    <n v="16895"/>
    <s v="Married"/>
    <x v="1"/>
    <n v="40000"/>
    <x v="3"/>
    <n v="3"/>
    <s v="Partial College"/>
    <s v="Professional"/>
    <s v="No"/>
    <n v="2"/>
    <x v="1"/>
    <x v="2"/>
    <n v="54"/>
    <x v="0"/>
    <x v="1"/>
    <n v="1"/>
    <m/>
  </r>
  <r>
    <n v="15862"/>
    <s v="Single"/>
    <x v="1"/>
    <n v="50000"/>
    <x v="3"/>
    <n v="0"/>
    <s v="Graduate Degree"/>
    <s v="Skilled Manual"/>
    <s v="Yes"/>
    <n v="0"/>
    <x v="1"/>
    <x v="2"/>
    <n v="33"/>
    <x v="1"/>
    <x v="1"/>
    <n v="1"/>
    <m/>
  </r>
  <r>
    <n v="26495"/>
    <s v="Single"/>
    <x v="1"/>
    <n v="40000"/>
    <x v="3"/>
    <n v="2"/>
    <s v="High School"/>
    <s v="Professional"/>
    <s v="Yes"/>
    <n v="2"/>
    <x v="4"/>
    <x v="2"/>
    <n v="57"/>
    <x v="0"/>
    <x v="0"/>
    <b v="0"/>
    <m/>
  </r>
  <r>
    <n v="14914"/>
    <s v="Married"/>
    <x v="1"/>
    <n v="40000"/>
    <x v="3"/>
    <n v="1"/>
    <s v="Partial College"/>
    <s v="Clerical"/>
    <s v="Yes"/>
    <n v="1"/>
    <x v="1"/>
    <x v="2"/>
    <n v="49"/>
    <x v="0"/>
    <x v="1"/>
    <n v="1"/>
    <m/>
  </r>
  <r>
    <n v="12033"/>
    <s v="Single"/>
    <x v="1"/>
    <n v="40000"/>
    <x v="3"/>
    <n v="0"/>
    <s v="High School"/>
    <s v="Skilled Manual"/>
    <s v="No"/>
    <n v="2"/>
    <x v="0"/>
    <x v="2"/>
    <n v="27"/>
    <x v="1"/>
    <x v="1"/>
    <n v="1"/>
    <m/>
  </r>
  <r>
    <n v="27740"/>
    <s v="Married"/>
    <x v="1"/>
    <n v="40000"/>
    <x v="3"/>
    <n v="0"/>
    <s v="High School"/>
    <s v="Skilled Manual"/>
    <s v="Yes"/>
    <n v="2"/>
    <x v="2"/>
    <x v="2"/>
    <n v="27"/>
    <x v="1"/>
    <x v="0"/>
    <b v="0"/>
    <m/>
  </r>
  <r>
    <n v="23513"/>
    <s v="Married"/>
    <x v="1"/>
    <n v="40000"/>
    <x v="3"/>
    <n v="3"/>
    <s v="Partial College"/>
    <s v="Professional"/>
    <s v="Yes"/>
    <n v="2"/>
    <x v="2"/>
    <x v="2"/>
    <n v="54"/>
    <x v="0"/>
    <x v="0"/>
    <b v="0"/>
    <m/>
  </r>
  <r>
    <n v="26298"/>
    <s v="Married"/>
    <x v="1"/>
    <n v="50000"/>
    <x v="3"/>
    <n v="1"/>
    <s v="Bachelors"/>
    <s v="Skilled Manual"/>
    <s v="Yes"/>
    <n v="0"/>
    <x v="3"/>
    <x v="2"/>
    <n v="34"/>
    <x v="1"/>
    <x v="1"/>
    <n v="1"/>
    <m/>
  </r>
  <r>
    <n v="25419"/>
    <s v="Single"/>
    <x v="0"/>
    <n v="50000"/>
    <x v="3"/>
    <n v="2"/>
    <s v="Bachelors"/>
    <s v="Skilled Manual"/>
    <s v="No"/>
    <n v="1"/>
    <x v="0"/>
    <x v="2"/>
    <n v="38"/>
    <x v="1"/>
    <x v="1"/>
    <n v="1"/>
    <m/>
  </r>
  <r>
    <n v="17654"/>
    <s v="Single"/>
    <x v="1"/>
    <n v="40000"/>
    <x v="3"/>
    <n v="3"/>
    <s v="Partial College"/>
    <s v="Clerical"/>
    <s v="Yes"/>
    <n v="1"/>
    <x v="1"/>
    <x v="2"/>
    <n v="30"/>
    <x v="1"/>
    <x v="1"/>
    <n v="1"/>
    <m/>
  </r>
  <r>
    <n v="17541"/>
    <s v="Married"/>
    <x v="1"/>
    <n v="40000"/>
    <x v="3"/>
    <n v="4"/>
    <s v="High School"/>
    <s v="Skilled Manual"/>
    <s v="Yes"/>
    <n v="2"/>
    <x v="3"/>
    <x v="2"/>
    <n v="43"/>
    <x v="0"/>
    <x v="0"/>
    <b v="0"/>
    <m/>
  </r>
  <r>
    <n v="27756"/>
    <s v="Single"/>
    <x v="1"/>
    <n v="50000"/>
    <x v="3"/>
    <n v="3"/>
    <s v="Bachelors"/>
    <s v="Skilled Manual"/>
    <s v="No"/>
    <n v="1"/>
    <x v="0"/>
    <x v="2"/>
    <n v="40"/>
    <x v="0"/>
    <x v="0"/>
    <b v="0"/>
    <m/>
  </r>
  <r>
    <n v="23818"/>
    <s v="Married"/>
    <x v="1"/>
    <n v="50000"/>
    <x v="3"/>
    <n v="0"/>
    <s v="Graduate Degree"/>
    <s v="Skilled Manual"/>
    <s v="Yes"/>
    <n v="0"/>
    <x v="1"/>
    <x v="2"/>
    <n v="33"/>
    <x v="1"/>
    <x v="1"/>
    <n v="1"/>
    <m/>
  </r>
  <r>
    <n v="17337"/>
    <s v="Single"/>
    <x v="0"/>
    <n v="40000"/>
    <x v="3"/>
    <n v="0"/>
    <s v="High School"/>
    <s v="Skilled Manual"/>
    <s v="Yes"/>
    <n v="1"/>
    <x v="2"/>
    <x v="2"/>
    <n v="31"/>
    <x v="1"/>
    <x v="0"/>
    <b v="0"/>
    <m/>
  </r>
  <r>
    <n v="28625"/>
    <s v="Single"/>
    <x v="0"/>
    <n v="40000"/>
    <x v="3"/>
    <n v="2"/>
    <s v="Partial College"/>
    <s v="Clerical"/>
    <s v="No"/>
    <n v="1"/>
    <x v="1"/>
    <x v="2"/>
    <n v="47"/>
    <x v="0"/>
    <x v="1"/>
    <n v="1"/>
    <m/>
  </r>
  <r>
    <n v="13920"/>
    <s v="Single"/>
    <x v="1"/>
    <n v="50000"/>
    <x v="3"/>
    <n v="4"/>
    <s v="Bachelors"/>
    <s v="Skilled Manual"/>
    <s v="Yes"/>
    <n v="2"/>
    <x v="0"/>
    <x v="2"/>
    <n v="42"/>
    <x v="0"/>
    <x v="0"/>
    <b v="0"/>
    <m/>
  </r>
  <r>
    <n v="23704"/>
    <s v="Single"/>
    <x v="0"/>
    <n v="40000"/>
    <x v="3"/>
    <n v="5"/>
    <s v="High School"/>
    <s v="Professional"/>
    <s v="Yes"/>
    <n v="4"/>
    <x v="4"/>
    <x v="2"/>
    <n v="60"/>
    <x v="2"/>
    <x v="1"/>
    <n v="1"/>
    <m/>
  </r>
  <r>
    <n v="27974"/>
    <s v="Single"/>
    <x v="0"/>
    <n v="160000"/>
    <x v="4"/>
    <n v="2"/>
    <s v="High School"/>
    <s v="Management"/>
    <s v="Yes"/>
    <n v="4"/>
    <x v="0"/>
    <x v="1"/>
    <n v="33"/>
    <x v="1"/>
    <x v="1"/>
    <n v="1"/>
    <m/>
  </r>
  <r>
    <n v="19280"/>
    <s v="Married"/>
    <x v="0"/>
    <n v="120000"/>
    <x v="4"/>
    <n v="2"/>
    <s v="Partial College"/>
    <s v="Manual"/>
    <s v="Yes"/>
    <n v="1"/>
    <x v="0"/>
    <x v="0"/>
    <n v="40"/>
    <x v="0"/>
    <x v="1"/>
    <n v="1"/>
    <m/>
  </r>
  <r>
    <n v="11434"/>
    <s v="Married"/>
    <x v="0"/>
    <n v="170000"/>
    <x v="4"/>
    <n v="5"/>
    <s v="Partial College"/>
    <s v="Professional"/>
    <s v="Yes"/>
    <n v="0"/>
    <x v="0"/>
    <x v="0"/>
    <n v="55"/>
    <x v="0"/>
    <x v="0"/>
    <b v="0"/>
    <m/>
  </r>
  <r>
    <n v="18283"/>
    <s v="Single"/>
    <x v="1"/>
    <n v="100000"/>
    <x v="4"/>
    <n v="0"/>
    <s v="Bachelors"/>
    <s v="Professional"/>
    <s v="No"/>
    <n v="1"/>
    <x v="2"/>
    <x v="1"/>
    <n v="40"/>
    <x v="0"/>
    <x v="0"/>
    <b v="0"/>
    <m/>
  </r>
  <r>
    <n v="17185"/>
    <s v="Married"/>
    <x v="1"/>
    <n v="170000"/>
    <x v="4"/>
    <n v="4"/>
    <s v="Partial College"/>
    <s v="Professional"/>
    <s v="No"/>
    <n v="3"/>
    <x v="2"/>
    <x v="0"/>
    <n v="48"/>
    <x v="0"/>
    <x v="1"/>
    <n v="1"/>
    <m/>
  </r>
  <r>
    <n v="20567"/>
    <s v="Married"/>
    <x v="0"/>
    <n v="130000"/>
    <x v="4"/>
    <n v="4"/>
    <s v="Partial College"/>
    <s v="Professional"/>
    <s v="No"/>
    <n v="4"/>
    <x v="2"/>
    <x v="0"/>
    <n v="61"/>
    <x v="2"/>
    <x v="1"/>
    <n v="1"/>
    <m/>
  </r>
  <r>
    <n v="14238"/>
    <s v="Married"/>
    <x v="0"/>
    <n v="120000"/>
    <x v="4"/>
    <n v="0"/>
    <s v="Partial High School"/>
    <s v="Professional"/>
    <s v="Yes"/>
    <n v="4"/>
    <x v="4"/>
    <x v="1"/>
    <n v="36"/>
    <x v="1"/>
    <x v="1"/>
    <n v="1"/>
    <m/>
  </r>
  <r>
    <n v="24857"/>
    <s v="Married"/>
    <x v="1"/>
    <n v="130000"/>
    <x v="4"/>
    <n v="3"/>
    <s v="High School"/>
    <s v="Professional"/>
    <s v="Yes"/>
    <n v="4"/>
    <x v="0"/>
    <x v="0"/>
    <n v="52"/>
    <x v="0"/>
    <x v="0"/>
    <b v="0"/>
    <m/>
  </r>
  <r>
    <n v="12678"/>
    <s v="Single"/>
    <x v="1"/>
    <n v="130000"/>
    <x v="4"/>
    <n v="4"/>
    <s v="High School"/>
    <s v="Management"/>
    <s v="Yes"/>
    <n v="4"/>
    <x v="0"/>
    <x v="1"/>
    <n v="31"/>
    <x v="1"/>
    <x v="0"/>
    <b v="0"/>
    <m/>
  </r>
  <r>
    <n v="17191"/>
    <s v="Single"/>
    <x v="0"/>
    <n v="130000"/>
    <x v="4"/>
    <n v="3"/>
    <s v="Partial College"/>
    <s v="Professional"/>
    <s v="No"/>
    <n v="3"/>
    <x v="0"/>
    <x v="0"/>
    <n v="51"/>
    <x v="0"/>
    <x v="1"/>
    <n v="1"/>
    <m/>
  </r>
  <r>
    <n v="29191"/>
    <s v="Single"/>
    <x v="1"/>
    <n v="130000"/>
    <x v="4"/>
    <n v="1"/>
    <s v="Graduate Degree"/>
    <s v="Management"/>
    <s v="No"/>
    <n v="1"/>
    <x v="0"/>
    <x v="1"/>
    <n v="36"/>
    <x v="1"/>
    <x v="1"/>
    <n v="1"/>
    <m/>
  </r>
  <r>
    <n v="15922"/>
    <s v="Married"/>
    <x v="0"/>
    <n v="150000"/>
    <x v="4"/>
    <n v="2"/>
    <s v="High School"/>
    <s v="Professional"/>
    <s v="Yes"/>
    <n v="4"/>
    <x v="0"/>
    <x v="0"/>
    <n v="48"/>
    <x v="0"/>
    <x v="0"/>
    <b v="0"/>
    <m/>
  </r>
  <r>
    <n v="23627"/>
    <s v="Single"/>
    <x v="1"/>
    <n v="100000"/>
    <x v="4"/>
    <n v="3"/>
    <s v="Partial College"/>
    <s v="Management"/>
    <s v="No"/>
    <n v="4"/>
    <x v="2"/>
    <x v="0"/>
    <n v="56"/>
    <x v="0"/>
    <x v="0"/>
    <b v="0"/>
    <m/>
  </r>
  <r>
    <n v="29117"/>
    <s v="Single"/>
    <x v="0"/>
    <n v="100000"/>
    <x v="4"/>
    <n v="1"/>
    <s v="Bachelors"/>
    <s v="Management"/>
    <s v="No"/>
    <n v="3"/>
    <x v="0"/>
    <x v="1"/>
    <n v="48"/>
    <x v="0"/>
    <x v="0"/>
    <b v="0"/>
    <m/>
  </r>
  <r>
    <n v="25058"/>
    <s v="Married"/>
    <x v="0"/>
    <n v="100000"/>
    <x v="4"/>
    <n v="1"/>
    <s v="Bachelors"/>
    <s v="Management"/>
    <s v="Yes"/>
    <n v="3"/>
    <x v="3"/>
    <x v="1"/>
    <n v="47"/>
    <x v="0"/>
    <x v="0"/>
    <b v="0"/>
    <m/>
  </r>
  <r>
    <n v="12664"/>
    <s v="Married"/>
    <x v="1"/>
    <n v="130000"/>
    <x v="4"/>
    <n v="5"/>
    <s v="Partial College"/>
    <s v="Professional"/>
    <s v="Yes"/>
    <n v="4"/>
    <x v="0"/>
    <x v="0"/>
    <n v="59"/>
    <x v="0"/>
    <x v="0"/>
    <b v="0"/>
    <m/>
  </r>
  <r>
    <n v="14233"/>
    <s v="Single"/>
    <x v="0"/>
    <n v="100000"/>
    <x v="4"/>
    <n v="0"/>
    <s v="High School"/>
    <s v="Management"/>
    <s v="Yes"/>
    <n v="3"/>
    <x v="4"/>
    <x v="1"/>
    <n v="35"/>
    <x v="1"/>
    <x v="0"/>
    <b v="0"/>
    <m/>
  </r>
  <r>
    <n v="17203"/>
    <s v="Married"/>
    <x v="1"/>
    <n v="130000"/>
    <x v="4"/>
    <n v="4"/>
    <s v="Partial College"/>
    <s v="Professional"/>
    <s v="Yes"/>
    <n v="4"/>
    <x v="2"/>
    <x v="0"/>
    <n v="61"/>
    <x v="2"/>
    <x v="1"/>
    <n v="1"/>
    <m/>
  </r>
  <r>
    <n v="27304"/>
    <s v="Single"/>
    <x v="1"/>
    <n v="110000"/>
    <x v="4"/>
    <n v="2"/>
    <s v="Partial College"/>
    <s v="Professional"/>
    <s v="No"/>
    <n v="3"/>
    <x v="2"/>
    <x v="0"/>
    <n v="48"/>
    <x v="0"/>
    <x v="0"/>
    <b v="0"/>
    <m/>
  </r>
  <r>
    <n v="14191"/>
    <s v="Married"/>
    <x v="0"/>
    <n v="160000"/>
    <x v="4"/>
    <n v="4"/>
    <s v="Partial College"/>
    <s v="Professional"/>
    <s v="No"/>
    <n v="2"/>
    <x v="4"/>
    <x v="0"/>
    <n v="55"/>
    <x v="0"/>
    <x v="1"/>
    <n v="1"/>
    <m/>
  </r>
  <r>
    <n v="28918"/>
    <s v="Married"/>
    <x v="1"/>
    <n v="130000"/>
    <x v="4"/>
    <n v="4"/>
    <s v="High School"/>
    <s v="Management"/>
    <s v="No"/>
    <n v="4"/>
    <x v="4"/>
    <x v="0"/>
    <n v="58"/>
    <x v="0"/>
    <x v="0"/>
    <b v="0"/>
    <m/>
  </r>
  <r>
    <n v="15214"/>
    <s v="Single"/>
    <x v="1"/>
    <n v="100000"/>
    <x v="4"/>
    <n v="0"/>
    <s v="Graduate Degree"/>
    <s v="Management"/>
    <s v="No"/>
    <n v="1"/>
    <x v="1"/>
    <x v="1"/>
    <n v="39"/>
    <x v="1"/>
    <x v="1"/>
    <n v="1"/>
    <m/>
  </r>
  <r>
    <n v="22830"/>
    <s v="Married"/>
    <x v="0"/>
    <n v="120000"/>
    <x v="4"/>
    <n v="4"/>
    <s v="Partial College"/>
    <s v="Management"/>
    <s v="Yes"/>
    <n v="3"/>
    <x v="4"/>
    <x v="0"/>
    <n v="56"/>
    <x v="0"/>
    <x v="0"/>
    <b v="0"/>
    <m/>
  </r>
  <r>
    <n v="19057"/>
    <s v="Married"/>
    <x v="1"/>
    <n v="120000"/>
    <x v="4"/>
    <n v="3"/>
    <s v="Bachelors"/>
    <s v="Management"/>
    <s v="No"/>
    <n v="2"/>
    <x v="4"/>
    <x v="0"/>
    <n v="52"/>
    <x v="0"/>
    <x v="1"/>
    <n v="1"/>
    <m/>
  </r>
  <r>
    <n v="18494"/>
    <s v="Married"/>
    <x v="0"/>
    <n v="110000"/>
    <x v="4"/>
    <n v="5"/>
    <s v="Bachelors"/>
    <s v="Management"/>
    <s v="Yes"/>
    <n v="4"/>
    <x v="3"/>
    <x v="1"/>
    <n v="48"/>
    <x v="0"/>
    <x v="1"/>
    <n v="1"/>
    <m/>
  </r>
  <r>
    <n v="11249"/>
    <s v="Married"/>
    <x v="1"/>
    <n v="130000"/>
    <x v="4"/>
    <n v="3"/>
    <s v="Partial College"/>
    <s v="Professional"/>
    <s v="Yes"/>
    <n v="3"/>
    <x v="0"/>
    <x v="0"/>
    <n v="51"/>
    <x v="0"/>
    <x v="1"/>
    <n v="1"/>
    <m/>
  </r>
  <r>
    <n v="21568"/>
    <s v="Married"/>
    <x v="1"/>
    <n v="100000"/>
    <x v="4"/>
    <n v="0"/>
    <s v="High School"/>
    <s v="Management"/>
    <s v="Yes"/>
    <n v="4"/>
    <x v="4"/>
    <x v="1"/>
    <n v="34"/>
    <x v="1"/>
    <x v="1"/>
    <n v="1"/>
    <m/>
  </r>
  <r>
    <n v="22931"/>
    <s v="Married"/>
    <x v="0"/>
    <n v="100000"/>
    <x v="4"/>
    <n v="5"/>
    <s v="Graduate Degree"/>
    <s v="Management"/>
    <s v="No"/>
    <n v="1"/>
    <x v="1"/>
    <x v="1"/>
    <n v="78"/>
    <x v="2"/>
    <x v="1"/>
    <n v="1"/>
    <m/>
  </r>
  <r>
    <n v="18172"/>
    <s v="Married"/>
    <x v="0"/>
    <n v="130000"/>
    <x v="4"/>
    <n v="4"/>
    <s v="High School"/>
    <s v="Professional"/>
    <s v="Yes"/>
    <n v="3"/>
    <x v="0"/>
    <x v="0"/>
    <n v="55"/>
    <x v="0"/>
    <x v="0"/>
    <b v="0"/>
    <m/>
  </r>
  <r>
    <n v="20598"/>
    <s v="Married"/>
    <x v="0"/>
    <n v="100000"/>
    <x v="4"/>
    <n v="3"/>
    <s v="Partial High School"/>
    <s v="Professional"/>
    <s v="Yes"/>
    <n v="0"/>
    <x v="4"/>
    <x v="0"/>
    <n v="59"/>
    <x v="0"/>
    <x v="1"/>
    <n v="1"/>
    <m/>
  </r>
  <r>
    <n v="14193"/>
    <s v="Single"/>
    <x v="1"/>
    <n v="100000"/>
    <x v="4"/>
    <n v="3"/>
    <s v="Partial College"/>
    <s v="Management"/>
    <s v="Yes"/>
    <n v="4"/>
    <x v="4"/>
    <x v="0"/>
    <n v="56"/>
    <x v="0"/>
    <x v="0"/>
    <b v="0"/>
    <m/>
  </r>
  <r>
    <n v="12705"/>
    <s v="Married"/>
    <x v="0"/>
    <n v="150000"/>
    <x v="4"/>
    <n v="0"/>
    <s v="Bachelors"/>
    <s v="Management"/>
    <s v="Yes"/>
    <n v="4"/>
    <x v="0"/>
    <x v="1"/>
    <n v="37"/>
    <x v="1"/>
    <x v="1"/>
    <n v="1"/>
    <m/>
  </r>
  <r>
    <n v="13133"/>
    <s v="Single"/>
    <x v="0"/>
    <n v="100000"/>
    <x v="4"/>
    <n v="5"/>
    <s v="Bachelors"/>
    <s v="Professional"/>
    <s v="Yes"/>
    <n v="1"/>
    <x v="2"/>
    <x v="1"/>
    <n v="47"/>
    <x v="0"/>
    <x v="1"/>
    <n v="1"/>
    <m/>
  </r>
  <r>
    <n v="20625"/>
    <s v="Married"/>
    <x v="0"/>
    <n v="100000"/>
    <x v="4"/>
    <n v="0"/>
    <s v="High School"/>
    <s v="Management"/>
    <s v="Yes"/>
    <n v="3"/>
    <x v="4"/>
    <x v="1"/>
    <n v="35"/>
    <x v="1"/>
    <x v="1"/>
    <n v="1"/>
    <m/>
  </r>
  <r>
    <n v="29120"/>
    <s v="Single"/>
    <x v="1"/>
    <n v="100000"/>
    <x v="4"/>
    <n v="1"/>
    <s v="Bachelors"/>
    <s v="Management"/>
    <s v="Yes"/>
    <n v="4"/>
    <x v="3"/>
    <x v="1"/>
    <n v="48"/>
    <x v="0"/>
    <x v="0"/>
    <b v="0"/>
    <m/>
  </r>
  <r>
    <n v="15758"/>
    <s v="Married"/>
    <x v="0"/>
    <n v="130000"/>
    <x v="4"/>
    <n v="0"/>
    <s v="Graduate Degree"/>
    <s v="Management"/>
    <s v="Yes"/>
    <n v="0"/>
    <x v="2"/>
    <x v="1"/>
    <n v="48"/>
    <x v="0"/>
    <x v="0"/>
    <b v="0"/>
    <m/>
  </r>
  <r>
    <n v="21557"/>
    <s v="Single"/>
    <x v="1"/>
    <n v="110000"/>
    <x v="4"/>
    <n v="0"/>
    <s v="Partial College"/>
    <s v="Management"/>
    <s v="Yes"/>
    <n v="3"/>
    <x v="4"/>
    <x v="1"/>
    <n v="32"/>
    <x v="1"/>
    <x v="1"/>
    <n v="1"/>
    <m/>
  </r>
  <r>
    <n v="11896"/>
    <s v="Married"/>
    <x v="0"/>
    <n v="100000"/>
    <x v="4"/>
    <n v="1"/>
    <s v="Graduate Degree"/>
    <s v="Management"/>
    <s v="Yes"/>
    <n v="0"/>
    <x v="3"/>
    <x v="1"/>
    <n v="36"/>
    <x v="1"/>
    <x v="1"/>
    <n v="1"/>
    <m/>
  </r>
  <r>
    <n v="17522"/>
    <s v="Married"/>
    <x v="0"/>
    <n v="120000"/>
    <x v="4"/>
    <n v="4"/>
    <s v="Bachelors"/>
    <s v="Management"/>
    <s v="Yes"/>
    <n v="1"/>
    <x v="3"/>
    <x v="1"/>
    <n v="47"/>
    <x v="0"/>
    <x v="0"/>
    <b v="0"/>
    <m/>
  </r>
  <r>
    <n v="19066"/>
    <s v="Married"/>
    <x v="0"/>
    <n v="130000"/>
    <x v="4"/>
    <n v="4"/>
    <s v="Partial College"/>
    <s v="Professional"/>
    <s v="No"/>
    <n v="3"/>
    <x v="4"/>
    <x v="0"/>
    <n v="54"/>
    <x v="0"/>
    <x v="0"/>
    <b v="0"/>
    <m/>
  </r>
  <r>
    <n v="20228"/>
    <s v="Married"/>
    <x v="0"/>
    <n v="100000"/>
    <x v="4"/>
    <n v="0"/>
    <s v="Graduate Degree"/>
    <s v="Management"/>
    <s v="Yes"/>
    <n v="0"/>
    <x v="3"/>
    <x v="1"/>
    <n v="40"/>
    <x v="0"/>
    <x v="1"/>
    <n v="1"/>
    <m/>
  </r>
  <r>
    <n v="16675"/>
    <s v="Single"/>
    <x v="1"/>
    <n v="160000"/>
    <x v="4"/>
    <n v="0"/>
    <s v="Graduate Degree"/>
    <s v="Management"/>
    <s v="No"/>
    <n v="3"/>
    <x v="0"/>
    <x v="1"/>
    <n v="47"/>
    <x v="0"/>
    <x v="1"/>
    <n v="1"/>
    <m/>
  </r>
  <r>
    <n v="18160"/>
    <s v="Married"/>
    <x v="0"/>
    <n v="130000"/>
    <x v="4"/>
    <n v="3"/>
    <s v="High School"/>
    <s v="Professional"/>
    <s v="Yes"/>
    <n v="4"/>
    <x v="2"/>
    <x v="0"/>
    <n v="51"/>
    <x v="0"/>
    <x v="1"/>
    <n v="1"/>
    <m/>
  </r>
  <r>
    <n v="15926"/>
    <s v="Single"/>
    <x v="1"/>
    <n v="120000"/>
    <x v="4"/>
    <n v="3"/>
    <s v="High School"/>
    <s v="Professional"/>
    <s v="Yes"/>
    <n v="4"/>
    <x v="2"/>
    <x v="0"/>
    <n v="50"/>
    <x v="0"/>
    <x v="1"/>
    <n v="1"/>
    <m/>
  </r>
  <r>
    <n v="23608"/>
    <s v="Married"/>
    <x v="1"/>
    <n v="150000"/>
    <x v="4"/>
    <n v="3"/>
    <s v="High School"/>
    <s v="Professional"/>
    <s v="Yes"/>
    <n v="3"/>
    <x v="0"/>
    <x v="0"/>
    <n v="51"/>
    <x v="0"/>
    <x v="1"/>
    <n v="1"/>
    <m/>
  </r>
  <r>
    <n v="13082"/>
    <s v="Single"/>
    <x v="0"/>
    <n v="130000"/>
    <x v="4"/>
    <n v="0"/>
    <s v="Graduate Degree"/>
    <s v="Management"/>
    <s v="Yes"/>
    <n v="0"/>
    <x v="3"/>
    <x v="1"/>
    <n v="48"/>
    <x v="0"/>
    <x v="1"/>
    <n v="1"/>
    <m/>
  </r>
  <r>
    <n v="12133"/>
    <s v="Married"/>
    <x v="1"/>
    <n v="130000"/>
    <x v="4"/>
    <n v="3"/>
    <s v="Partial College"/>
    <s v="Professional"/>
    <s v="Yes"/>
    <n v="3"/>
    <x v="2"/>
    <x v="0"/>
    <n v="50"/>
    <x v="0"/>
    <x v="1"/>
    <n v="1"/>
    <m/>
  </r>
  <r>
    <n v="17324"/>
    <s v="Married"/>
    <x v="1"/>
    <n v="100000"/>
    <x v="4"/>
    <n v="4"/>
    <s v="Bachelors"/>
    <s v="Professional"/>
    <s v="Yes"/>
    <n v="1"/>
    <x v="4"/>
    <x v="1"/>
    <n v="46"/>
    <x v="0"/>
    <x v="0"/>
    <b v="0"/>
    <m/>
  </r>
  <r>
    <n v="18140"/>
    <s v="Married"/>
    <x v="0"/>
    <n v="130000"/>
    <x v="4"/>
    <n v="3"/>
    <s v="Partial College"/>
    <s v="Professional"/>
    <s v="No"/>
    <n v="3"/>
    <x v="2"/>
    <x v="0"/>
    <n v="51"/>
    <x v="0"/>
    <x v="1"/>
    <n v="1"/>
    <m/>
  </r>
  <r>
    <n v="28957"/>
    <s v="Single"/>
    <x v="1"/>
    <n v="120000"/>
    <x v="4"/>
    <n v="0"/>
    <s v="Partial High School"/>
    <s v="Professional"/>
    <s v="Yes"/>
    <n v="4"/>
    <x v="4"/>
    <x v="1"/>
    <n v="34"/>
    <x v="1"/>
    <x v="1"/>
    <n v="1"/>
    <m/>
  </r>
  <r>
    <n v="25792"/>
    <s v="Single"/>
    <x v="1"/>
    <n v="110000"/>
    <x v="4"/>
    <n v="3"/>
    <s v="Bachelors"/>
    <s v="Management"/>
    <s v="Yes"/>
    <n v="4"/>
    <x v="4"/>
    <x v="0"/>
    <n v="53"/>
    <x v="0"/>
    <x v="0"/>
    <b v="0"/>
    <m/>
  </r>
  <r>
    <n v="22821"/>
    <s v="Married"/>
    <x v="1"/>
    <n v="130000"/>
    <x v="4"/>
    <n v="3"/>
    <s v="Partial College"/>
    <s v="Professional"/>
    <s v="Yes"/>
    <n v="4"/>
    <x v="0"/>
    <x v="0"/>
    <n v="52"/>
    <x v="0"/>
    <x v="0"/>
    <b v="0"/>
    <m/>
  </r>
  <r>
    <n v="18153"/>
    <s v="Married"/>
    <x v="1"/>
    <n v="100000"/>
    <x v="4"/>
    <n v="2"/>
    <s v="Bachelors"/>
    <s v="Management"/>
    <s v="Yes"/>
    <n v="4"/>
    <x v="4"/>
    <x v="0"/>
    <n v="59"/>
    <x v="0"/>
    <x v="0"/>
    <b v="0"/>
    <m/>
  </r>
  <r>
    <n v="24901"/>
    <s v="Single"/>
    <x v="0"/>
    <n v="110000"/>
    <x v="4"/>
    <n v="0"/>
    <s v="Partial College"/>
    <s v="Management"/>
    <s v="No"/>
    <n v="3"/>
    <x v="4"/>
    <x v="1"/>
    <n v="32"/>
    <x v="1"/>
    <x v="1"/>
    <n v="1"/>
    <m/>
  </r>
  <r>
    <n v="22204"/>
    <s v="Married"/>
    <x v="0"/>
    <n v="110000"/>
    <x v="4"/>
    <n v="4"/>
    <s v="Bachelors"/>
    <s v="Management"/>
    <s v="Yes"/>
    <n v="3"/>
    <x v="3"/>
    <x v="1"/>
    <n v="48"/>
    <x v="0"/>
    <x v="0"/>
    <b v="0"/>
    <m/>
  </r>
  <r>
    <n v="21891"/>
    <s v="Married"/>
    <x v="1"/>
    <n v="110000"/>
    <x v="4"/>
    <n v="0"/>
    <s v="High School"/>
    <s v="Management"/>
    <s v="Yes"/>
    <n v="3"/>
    <x v="4"/>
    <x v="1"/>
    <n v="34"/>
    <x v="1"/>
    <x v="1"/>
    <n v="1"/>
    <m/>
  </r>
  <r>
    <n v="14278"/>
    <s v="Married"/>
    <x v="1"/>
    <n v="130000"/>
    <x v="4"/>
    <n v="0"/>
    <s v="Graduate Degree"/>
    <s v="Management"/>
    <s v="Yes"/>
    <n v="1"/>
    <x v="4"/>
    <x v="1"/>
    <n v="48"/>
    <x v="0"/>
    <x v="0"/>
    <b v="0"/>
    <m/>
  </r>
  <r>
    <n v="26385"/>
    <s v="Single"/>
    <x v="0"/>
    <n v="120000"/>
    <x v="4"/>
    <n v="3"/>
    <s v="High School"/>
    <s v="Professional"/>
    <s v="No"/>
    <n v="4"/>
    <x v="2"/>
    <x v="0"/>
    <n v="50"/>
    <x v="0"/>
    <x v="0"/>
    <b v="0"/>
    <m/>
  </r>
  <r>
    <n v="21560"/>
    <s v="Married"/>
    <x v="0"/>
    <n v="120000"/>
    <x v="4"/>
    <n v="0"/>
    <s v="Partial High School"/>
    <s v="Professional"/>
    <s v="Yes"/>
    <n v="4"/>
    <x v="4"/>
    <x v="1"/>
    <n v="32"/>
    <x v="1"/>
    <x v="1"/>
    <n v="1"/>
    <m/>
  </r>
  <r>
    <n v="13089"/>
    <s v="Married"/>
    <x v="1"/>
    <n v="120000"/>
    <x v="4"/>
    <n v="1"/>
    <s v="Bachelors"/>
    <s v="Management"/>
    <s v="Yes"/>
    <n v="2"/>
    <x v="0"/>
    <x v="1"/>
    <n v="46"/>
    <x v="0"/>
    <x v="1"/>
    <n v="1"/>
    <m/>
  </r>
  <r>
    <n v="24305"/>
    <s v="Single"/>
    <x v="0"/>
    <n v="100000"/>
    <x v="4"/>
    <n v="1"/>
    <s v="Bachelors"/>
    <s v="Management"/>
    <s v="No"/>
    <n v="3"/>
    <x v="0"/>
    <x v="1"/>
    <n v="46"/>
    <x v="0"/>
    <x v="1"/>
    <n v="1"/>
    <m/>
  </r>
  <r>
    <n v="20339"/>
    <s v="Married"/>
    <x v="1"/>
    <n v="130000"/>
    <x v="4"/>
    <n v="1"/>
    <s v="Bachelors"/>
    <s v="Management"/>
    <s v="Yes"/>
    <n v="4"/>
    <x v="3"/>
    <x v="2"/>
    <n v="44"/>
    <x v="0"/>
    <x v="1"/>
    <n v="1"/>
    <m/>
  </r>
  <r>
    <n v="15940"/>
    <s v="Married"/>
    <x v="0"/>
    <n v="100000"/>
    <x v="4"/>
    <n v="4"/>
    <s v="Partial College"/>
    <s v="Professional"/>
    <s v="Yes"/>
    <n v="4"/>
    <x v="0"/>
    <x v="2"/>
    <n v="40"/>
    <x v="0"/>
    <x v="0"/>
    <b v="0"/>
    <m/>
  </r>
  <r>
    <n v="27638"/>
    <s v="Single"/>
    <x v="0"/>
    <n v="100000"/>
    <x v="4"/>
    <n v="1"/>
    <s v="Partial College"/>
    <s v="Professional"/>
    <s v="No"/>
    <n v="3"/>
    <x v="1"/>
    <x v="2"/>
    <n v="44"/>
    <x v="0"/>
    <x v="0"/>
    <b v="0"/>
    <m/>
  </r>
  <r>
    <n v="15382"/>
    <s v="Married"/>
    <x v="1"/>
    <n v="110000"/>
    <x v="4"/>
    <n v="1"/>
    <s v="Bachelors"/>
    <s v="Management"/>
    <s v="Yes"/>
    <n v="2"/>
    <x v="1"/>
    <x v="2"/>
    <n v="44"/>
    <x v="0"/>
    <x v="0"/>
    <b v="0"/>
    <m/>
  </r>
  <r>
    <n v="24397"/>
    <s v="Single"/>
    <x v="0"/>
    <n v="120000"/>
    <x v="4"/>
    <n v="2"/>
    <s v="Bachelors"/>
    <s v="Management"/>
    <s v="No"/>
    <n v="4"/>
    <x v="1"/>
    <x v="2"/>
    <n v="40"/>
    <x v="0"/>
    <x v="0"/>
    <b v="0"/>
    <m/>
  </r>
  <r>
    <n v="13453"/>
    <s v="Married"/>
    <x v="1"/>
    <n v="130000"/>
    <x v="4"/>
    <n v="3"/>
    <s v="Bachelors"/>
    <s v="Management"/>
    <s v="Yes"/>
    <n v="3"/>
    <x v="0"/>
    <x v="2"/>
    <n v="45"/>
    <x v="0"/>
    <x v="1"/>
    <n v="1"/>
    <m/>
  </r>
  <r>
    <n v="16917"/>
    <s v="Married"/>
    <x v="0"/>
    <n v="120000"/>
    <x v="4"/>
    <n v="1"/>
    <s v="Bachelors"/>
    <s v="Management"/>
    <s v="Yes"/>
    <n v="4"/>
    <x v="0"/>
    <x v="2"/>
    <n v="38"/>
    <x v="1"/>
    <x v="0"/>
    <b v="0"/>
    <m/>
  </r>
  <r>
    <n v="15194"/>
    <s v="Single"/>
    <x v="0"/>
    <n v="120000"/>
    <x v="4"/>
    <n v="2"/>
    <s v="Bachelors"/>
    <s v="Management"/>
    <s v="No"/>
    <n v="3"/>
    <x v="0"/>
    <x v="2"/>
    <n v="39"/>
    <x v="1"/>
    <x v="1"/>
    <n v="1"/>
    <m/>
  </r>
  <r>
    <n v="18935"/>
    <s v="Married"/>
    <x v="1"/>
    <n v="130000"/>
    <x v="4"/>
    <n v="0"/>
    <s v="Graduate Degree"/>
    <s v="Management"/>
    <s v="Yes"/>
    <n v="3"/>
    <x v="1"/>
    <x v="2"/>
    <n v="40"/>
    <x v="0"/>
    <x v="0"/>
    <b v="0"/>
    <m/>
  </r>
  <r>
    <n v="24398"/>
    <s v="Married"/>
    <x v="0"/>
    <n v="130000"/>
    <x v="4"/>
    <n v="1"/>
    <s v="Graduate Degree"/>
    <s v="Management"/>
    <s v="Yes"/>
    <n v="4"/>
    <x v="0"/>
    <x v="2"/>
    <n v="41"/>
    <x v="0"/>
    <x v="0"/>
    <b v="0"/>
    <m/>
  </r>
  <r>
    <n v="25184"/>
    <s v="Single"/>
    <x v="0"/>
    <n v="110000"/>
    <x v="4"/>
    <n v="1"/>
    <s v="Partial College"/>
    <s v="Professional"/>
    <s v="Yes"/>
    <n v="4"/>
    <x v="2"/>
    <x v="2"/>
    <n v="45"/>
    <x v="0"/>
    <x v="1"/>
    <n v="1"/>
    <m/>
  </r>
  <r>
    <n v="14469"/>
    <s v="Married"/>
    <x v="1"/>
    <n v="100000"/>
    <x v="4"/>
    <n v="3"/>
    <s v="Partial College"/>
    <s v="Professional"/>
    <s v="Yes"/>
    <n v="4"/>
    <x v="1"/>
    <x v="2"/>
    <n v="45"/>
    <x v="0"/>
    <x v="0"/>
    <b v="0"/>
    <m/>
  </r>
  <r>
    <n v="11259"/>
    <s v="Married"/>
    <x v="1"/>
    <n v="100000"/>
    <x v="4"/>
    <n v="4"/>
    <s v="Partial College"/>
    <s v="Professional"/>
    <s v="Yes"/>
    <n v="4"/>
    <x v="3"/>
    <x v="2"/>
    <n v="41"/>
    <x v="0"/>
    <x v="1"/>
    <n v="1"/>
    <m/>
  </r>
  <r>
    <n v="22088"/>
    <s v="Married"/>
    <x v="1"/>
    <n v="130000"/>
    <x v="4"/>
    <n v="1"/>
    <s v="Bachelors"/>
    <s v="Management"/>
    <s v="Yes"/>
    <n v="2"/>
    <x v="0"/>
    <x v="2"/>
    <n v="45"/>
    <x v="0"/>
    <x v="1"/>
    <n v="1"/>
    <m/>
  </r>
  <r>
    <n v="29237"/>
    <s v="Single"/>
    <x v="1"/>
    <n v="120000"/>
    <x v="4"/>
    <n v="4"/>
    <s v="Partial College"/>
    <s v="Professional"/>
    <s v="Yes"/>
    <n v="3"/>
    <x v="2"/>
    <x v="2"/>
    <n v="43"/>
    <x v="0"/>
    <x v="1"/>
    <n v="1"/>
    <m/>
  </r>
  <r>
    <n v="14507"/>
    <s v="Married"/>
    <x v="0"/>
    <n v="100000"/>
    <x v="4"/>
    <n v="2"/>
    <s v="Graduate Degree"/>
    <s v="Management"/>
    <s v="Yes"/>
    <n v="3"/>
    <x v="1"/>
    <x v="2"/>
    <n v="65"/>
    <x v="2"/>
    <x v="0"/>
    <b v="0"/>
    <m/>
  </r>
  <r>
    <n v="27637"/>
    <s v="Single"/>
    <x v="1"/>
    <n v="100000"/>
    <x v="4"/>
    <n v="1"/>
    <s v="Partial College"/>
    <s v="Professional"/>
    <s v="No"/>
    <n v="3"/>
    <x v="1"/>
    <x v="2"/>
    <n v="44"/>
    <x v="0"/>
    <x v="0"/>
    <b v="0"/>
    <m/>
  </r>
  <r>
    <n v="14443"/>
    <s v="Married"/>
    <x v="0"/>
    <n v="130000"/>
    <x v="4"/>
    <n v="1"/>
    <s v="Graduate Degree"/>
    <s v="Management"/>
    <s v="Yes"/>
    <n v="4"/>
    <x v="0"/>
    <x v="2"/>
    <n v="40"/>
    <x v="0"/>
    <x v="0"/>
    <b v="0"/>
    <m/>
  </r>
  <r>
    <n v="18517"/>
    <s v="Married"/>
    <x v="0"/>
    <n v="100000"/>
    <x v="4"/>
    <n v="3"/>
    <s v="Bachelors"/>
    <s v="Management"/>
    <s v="Yes"/>
    <n v="4"/>
    <x v="0"/>
    <x v="2"/>
    <n v="41"/>
    <x v="0"/>
    <x v="0"/>
    <b v="0"/>
    <m/>
  </r>
  <r>
    <n v="28269"/>
    <s v="Single"/>
    <x v="1"/>
    <n v="130000"/>
    <x v="4"/>
    <n v="1"/>
    <s v="Bachelors"/>
    <s v="Management"/>
    <s v="No"/>
    <n v="1"/>
    <x v="3"/>
    <x v="2"/>
    <n v="45"/>
    <x v="0"/>
    <x v="0"/>
    <b v="0"/>
    <m/>
  </r>
  <r>
    <n v="13314"/>
    <s v="Married"/>
    <x v="0"/>
    <n v="120000"/>
    <x v="4"/>
    <n v="1"/>
    <s v="High School"/>
    <s v="Professional"/>
    <s v="Yes"/>
    <n v="4"/>
    <x v="2"/>
    <x v="2"/>
    <n v="46"/>
    <x v="0"/>
    <x v="1"/>
    <n v="1"/>
    <m/>
  </r>
  <r>
    <n v="13287"/>
    <s v="Single"/>
    <x v="0"/>
    <n v="110000"/>
    <x v="4"/>
    <n v="4"/>
    <s v="Bachelors"/>
    <s v="Management"/>
    <s v="Yes"/>
    <n v="4"/>
    <x v="2"/>
    <x v="2"/>
    <n v="42"/>
    <x v="0"/>
    <x v="1"/>
    <n v="1"/>
    <m/>
  </r>
  <r>
    <n v="11270"/>
    <s v="Married"/>
    <x v="0"/>
    <n v="130000"/>
    <x v="4"/>
    <n v="2"/>
    <s v="Graduate Degree"/>
    <s v="Management"/>
    <s v="Yes"/>
    <n v="3"/>
    <x v="0"/>
    <x v="2"/>
    <n v="42"/>
    <x v="0"/>
    <x v="1"/>
    <n v="1"/>
    <m/>
  </r>
  <r>
    <n v="23027"/>
    <s v="Single"/>
    <x v="0"/>
    <n v="130000"/>
    <x v="4"/>
    <n v="1"/>
    <s v="Bachelors"/>
    <s v="Management"/>
    <s v="No"/>
    <n v="4"/>
    <x v="0"/>
    <x v="2"/>
    <n v="44"/>
    <x v="0"/>
    <x v="0"/>
    <b v="0"/>
    <m/>
  </r>
  <r>
    <n v="16867"/>
    <s v="Single"/>
    <x v="1"/>
    <n v="130000"/>
    <x v="4"/>
    <n v="1"/>
    <s v="Bachelors"/>
    <s v="Management"/>
    <s v="No"/>
    <n v="3"/>
    <x v="0"/>
    <x v="2"/>
    <n v="45"/>
    <x v="0"/>
    <x v="1"/>
    <n v="1"/>
    <m/>
  </r>
  <r>
    <n v="13296"/>
    <s v="Married"/>
    <x v="0"/>
    <n v="110000"/>
    <x v="4"/>
    <n v="1"/>
    <s v="Bachelors"/>
    <s v="Management"/>
    <s v="Yes"/>
    <n v="3"/>
    <x v="2"/>
    <x v="2"/>
    <n v="45"/>
    <x v="0"/>
    <x v="0"/>
    <b v="0"/>
    <m/>
  </r>
  <r>
    <n v="15412"/>
    <s v="Married"/>
    <x v="0"/>
    <n v="130000"/>
    <x v="4"/>
    <n v="2"/>
    <s v="Graduate Degree"/>
    <s v="Management"/>
    <s v="Yes"/>
    <n v="3"/>
    <x v="3"/>
    <x v="2"/>
    <n v="69"/>
    <x v="2"/>
    <x v="0"/>
    <b v="0"/>
    <m/>
  </r>
  <r>
    <n v="13313"/>
    <s v="Married"/>
    <x v="1"/>
    <n v="120000"/>
    <x v="4"/>
    <n v="1"/>
    <s v="High School"/>
    <s v="Professional"/>
    <s v="No"/>
    <n v="4"/>
    <x v="3"/>
    <x v="2"/>
    <n v="45"/>
    <x v="0"/>
    <x v="0"/>
    <b v="0"/>
    <m/>
  </r>
  <r>
    <n v="18952"/>
    <s v="Married"/>
    <x v="1"/>
    <n v="100000"/>
    <x v="4"/>
    <n v="4"/>
    <s v="Bachelors"/>
    <s v="Management"/>
    <s v="Yes"/>
    <n v="4"/>
    <x v="0"/>
    <x v="2"/>
    <n v="40"/>
    <x v="0"/>
    <x v="0"/>
    <b v="0"/>
    <m/>
  </r>
  <r>
    <n v="29243"/>
    <s v="Single"/>
    <x v="0"/>
    <n v="110000"/>
    <x v="4"/>
    <n v="1"/>
    <s v="Bachelors"/>
    <s v="Management"/>
    <s v="Yes"/>
    <n v="1"/>
    <x v="2"/>
    <x v="2"/>
    <n v="43"/>
    <x v="0"/>
    <x v="0"/>
    <b v="0"/>
    <m/>
  </r>
  <r>
    <n v="29048"/>
    <s v="Single"/>
    <x v="0"/>
    <n v="110000"/>
    <x v="4"/>
    <n v="2"/>
    <s v="Bachelors"/>
    <s v="Management"/>
    <s v="No"/>
    <n v="3"/>
    <x v="0"/>
    <x v="2"/>
    <n v="37"/>
    <x v="1"/>
    <x v="1"/>
    <n v="1"/>
    <m/>
  </r>
  <r>
    <n v="16009"/>
    <s v="Single"/>
    <x v="0"/>
    <n v="170000"/>
    <x v="4"/>
    <n v="1"/>
    <s v="Graduate Degree"/>
    <s v="Management"/>
    <s v="No"/>
    <n v="4"/>
    <x v="0"/>
    <x v="2"/>
    <n v="66"/>
    <x v="2"/>
    <x v="0"/>
    <b v="0"/>
    <m/>
  </r>
  <r>
    <n v="12056"/>
    <s v="Married"/>
    <x v="0"/>
    <n v="120000"/>
    <x v="4"/>
    <n v="2"/>
    <s v="Graduate Degree"/>
    <s v="Management"/>
    <s v="Yes"/>
    <n v="3"/>
    <x v="2"/>
    <x v="2"/>
    <n v="64"/>
    <x v="2"/>
    <x v="0"/>
    <b v="0"/>
    <m/>
  </r>
  <r>
    <n v="13176"/>
    <s v="Single"/>
    <x v="0"/>
    <n v="130000"/>
    <x v="4"/>
    <n v="0"/>
    <s v="Graduate Degree"/>
    <s v="Management"/>
    <s v="No"/>
    <n v="2"/>
    <x v="0"/>
    <x v="2"/>
    <n v="38"/>
    <x v="1"/>
    <x v="1"/>
    <n v="1"/>
    <m/>
  </r>
  <r>
    <n v="12205"/>
    <s v="Single"/>
    <x v="1"/>
    <n v="130000"/>
    <x v="4"/>
    <n v="2"/>
    <s v="Bachelors"/>
    <s v="Management"/>
    <s v="No"/>
    <n v="4"/>
    <x v="0"/>
    <x v="2"/>
    <n v="67"/>
    <x v="2"/>
    <x v="0"/>
    <b v="0"/>
    <m/>
  </r>
  <r>
    <n v="26065"/>
    <s v="Single"/>
    <x v="1"/>
    <n v="110000"/>
    <x v="4"/>
    <n v="3"/>
    <s v="Bachelors"/>
    <s v="Management"/>
    <s v="No"/>
    <n v="4"/>
    <x v="1"/>
    <x v="2"/>
    <n v="42"/>
    <x v="0"/>
    <x v="0"/>
    <b v="0"/>
    <m/>
  </r>
  <r>
    <n v="13415"/>
    <s v="Single"/>
    <x v="0"/>
    <n v="100000"/>
    <x v="4"/>
    <n v="1"/>
    <s v="Graduate Degree"/>
    <s v="Management"/>
    <s v="Yes"/>
    <n v="3"/>
    <x v="3"/>
    <x v="2"/>
    <n v="73"/>
    <x v="2"/>
    <x v="1"/>
    <n v="1"/>
    <m/>
  </r>
  <r>
    <n v="22719"/>
    <s v="Single"/>
    <x v="0"/>
    <n v="110000"/>
    <x v="4"/>
    <n v="3"/>
    <s v="Bachelors"/>
    <s v="Management"/>
    <s v="Yes"/>
    <n v="4"/>
    <x v="3"/>
    <x v="2"/>
    <n v="40"/>
    <x v="0"/>
    <x v="1"/>
    <n v="1"/>
    <m/>
  </r>
  <r>
    <n v="23491"/>
    <s v="Single"/>
    <x v="0"/>
    <n v="100000"/>
    <x v="4"/>
    <n v="0"/>
    <s v="Partial College"/>
    <s v="Professional"/>
    <s v="No"/>
    <n v="4"/>
    <x v="1"/>
    <x v="2"/>
    <n v="45"/>
    <x v="0"/>
    <x v="0"/>
    <b v="0"/>
    <m/>
  </r>
  <r>
    <n v="16651"/>
    <s v="Married"/>
    <x v="1"/>
    <n v="120000"/>
    <x v="4"/>
    <n v="2"/>
    <s v="Bachelors"/>
    <s v="Management"/>
    <s v="Yes"/>
    <n v="3"/>
    <x v="2"/>
    <x v="2"/>
    <n v="62"/>
    <x v="2"/>
    <x v="0"/>
    <b v="0"/>
    <m/>
  </r>
  <r>
    <n v="15982"/>
    <s v="Married"/>
    <x v="0"/>
    <n v="110000"/>
    <x v="4"/>
    <n v="5"/>
    <s v="Partial College"/>
    <s v="Professional"/>
    <s v="Yes"/>
    <n v="4"/>
    <x v="3"/>
    <x v="2"/>
    <n v="46"/>
    <x v="0"/>
    <x v="0"/>
    <b v="0"/>
    <m/>
  </r>
  <r>
    <n v="11269"/>
    <s v="Married"/>
    <x v="0"/>
    <n v="130000"/>
    <x v="4"/>
    <n v="2"/>
    <s v="Graduate Degree"/>
    <s v="Management"/>
    <s v="Yes"/>
    <n v="2"/>
    <x v="0"/>
    <x v="2"/>
    <n v="41"/>
    <x v="0"/>
    <x v="0"/>
    <b v="0"/>
    <m/>
  </r>
  <r>
    <n v="11292"/>
    <s v="Single"/>
    <x v="0"/>
    <n v="150000"/>
    <x v="4"/>
    <n v="1"/>
    <s v="Partial College"/>
    <s v="Professional"/>
    <s v="No"/>
    <n v="3"/>
    <x v="0"/>
    <x v="2"/>
    <n v="44"/>
    <x v="0"/>
    <x v="1"/>
    <n v="1"/>
    <m/>
  </r>
  <r>
    <n v="19664"/>
    <s v="Single"/>
    <x v="0"/>
    <n v="100000"/>
    <x v="4"/>
    <n v="3"/>
    <s v="Bachelors"/>
    <s v="Management"/>
    <s v="No"/>
    <n v="3"/>
    <x v="1"/>
    <x v="2"/>
    <n v="38"/>
    <x v="1"/>
    <x v="0"/>
    <b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76A91-CF87-4357-86EE-F69EE145A60E}"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1:C78" firstHeaderRow="1" firstDataRow="2" firstDataCol="1"/>
  <pivotFields count="17">
    <pivotField dataField="1" showAll="0"/>
    <pivotField showAll="0"/>
    <pivotField showAll="0">
      <items count="3">
        <item x="1"/>
        <item x="0"/>
        <item t="default"/>
      </items>
    </pivotField>
    <pivotField numFmtId="164" showAll="0"/>
    <pivotField showAll="0">
      <items count="6">
        <item x="4"/>
        <item x="3"/>
        <item x="2"/>
        <item x="1"/>
        <item x="0"/>
        <item t="default"/>
      </items>
    </pivotField>
    <pivotField showAll="0"/>
    <pivotField showAll="0"/>
    <pivotField showAll="0"/>
    <pivotField showAll="0"/>
    <pivotField showAll="0"/>
    <pivotField axis="axisRow" showAll="0" sortType="ascending">
      <items count="7">
        <item x="0"/>
        <item m="1" x="5"/>
        <item x="1"/>
        <item x="3"/>
        <item x="2"/>
        <item x="4"/>
        <item t="default"/>
      </items>
    </pivotField>
    <pivotField showAll="0"/>
    <pivotField showAll="0"/>
    <pivotField showAll="0"/>
    <pivotField axis="axisCol" showAll="0">
      <items count="3">
        <item h="1" x="0"/>
        <item x="1"/>
        <item t="default"/>
      </items>
    </pivotField>
    <pivotField showAll="0"/>
    <pivotField showAll="0"/>
  </pivotFields>
  <rowFields count="1">
    <field x="10"/>
  </rowFields>
  <rowItems count="6">
    <i>
      <x/>
    </i>
    <i>
      <x v="2"/>
    </i>
    <i>
      <x v="3"/>
    </i>
    <i>
      <x v="4"/>
    </i>
    <i>
      <x v="5"/>
    </i>
    <i t="grand">
      <x/>
    </i>
  </rowItems>
  <colFields count="1">
    <field x="14"/>
  </colFields>
  <colItems count="2">
    <i>
      <x v="1"/>
    </i>
    <i t="grand">
      <x/>
    </i>
  </colItems>
  <dataFields count="1">
    <dataField name="Count of ID" fld="0" subtotal="count" baseField="10" baseItem="0"/>
  </dataFields>
  <chartFormats count="2">
    <chartFormat chart="0" format="0"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E824C-EECF-4EE1-A536-690909BB2292}"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C63" firstHeaderRow="1" firstDataRow="2" firstDataCol="1"/>
  <pivotFields count="17">
    <pivotField dataField="1" showAll="0"/>
    <pivotField showAll="0"/>
    <pivotField showAll="0">
      <items count="3">
        <item x="1"/>
        <item x="0"/>
        <item t="default"/>
      </items>
    </pivotField>
    <pivotField numFmtId="164" showAll="0"/>
    <pivotField showAll="0">
      <items count="6">
        <item x="4"/>
        <item x="3"/>
        <item x="2"/>
        <item x="1"/>
        <item x="0"/>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h="1" x="0"/>
        <item x="1"/>
        <item t="default"/>
      </items>
    </pivotField>
    <pivotField showAll="0"/>
    <pivotField showAll="0"/>
  </pivotFields>
  <rowFields count="1">
    <field x="11"/>
  </rowFields>
  <rowItems count="4">
    <i>
      <x/>
    </i>
    <i>
      <x v="1"/>
    </i>
    <i>
      <x v="2"/>
    </i>
    <i t="grand">
      <x/>
    </i>
  </rowItems>
  <colFields count="1">
    <field x="14"/>
  </colFields>
  <colItems count="2">
    <i>
      <x v="1"/>
    </i>
    <i t="grand">
      <x/>
    </i>
  </colItems>
  <dataFields count="1">
    <dataField name="Count of ID" fld="0" subtotal="count" baseField="11" baseItem="2"/>
  </dataFields>
  <chartFormats count="2">
    <chartFormat chart="0" format="0"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A4AD48-4DD8-4EBD-8B8A-3F21D6E7A8C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C47" firstHeaderRow="1" firstDataRow="2" firstDataCol="1"/>
  <pivotFields count="17">
    <pivotField dataField="1" showAll="0"/>
    <pivotField showAll="0"/>
    <pivotField showAll="0">
      <items count="3">
        <item x="1"/>
        <item x="0"/>
        <item t="default"/>
      </items>
    </pivotField>
    <pivotField numFmtId="164" showAll="0"/>
    <pivotField axis="axisRow" showAll="0" sortType="descending">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4"/>
  </rowFields>
  <rowItems count="6">
    <i>
      <x/>
    </i>
    <i>
      <x v="1"/>
    </i>
    <i>
      <x v="2"/>
    </i>
    <i>
      <x v="3"/>
    </i>
    <i>
      <x v="4"/>
    </i>
    <i t="grand">
      <x/>
    </i>
  </rowItems>
  <colFields count="1">
    <field x="14"/>
  </colFields>
  <colItems count="2">
    <i>
      <x v="1"/>
    </i>
    <i t="grand">
      <x/>
    </i>
  </colItems>
  <dataFields count="1">
    <dataField name="Count of ID" fld="0" subtotal="count" baseField="3" baseItem="0"/>
  </dataFields>
  <chartFormats count="2">
    <chartFormat chart="2" format="0"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DDC09-1BC1-492D-B35A-BA24AC5D3ECE}"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C32" firstHeaderRow="1" firstDataRow="2" firstDataCol="1"/>
  <pivotFields count="17">
    <pivotField showAll="0"/>
    <pivotField showAll="0"/>
    <pivotField axis="axisRow" showAll="0">
      <items count="3">
        <item x="1"/>
        <item x="0"/>
        <item t="default"/>
      </items>
    </pivotField>
    <pivotField numFmtId="164" showAll="0"/>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axis="axisCol" dataField="1" showAll="0">
      <items count="3">
        <item h="1" x="0"/>
        <item x="1"/>
        <item t="default"/>
      </items>
    </pivotField>
    <pivotField showAll="0"/>
    <pivotField showAll="0"/>
  </pivotFields>
  <rowFields count="1">
    <field x="2"/>
  </rowFields>
  <rowItems count="3">
    <i>
      <x/>
    </i>
    <i>
      <x v="1"/>
    </i>
    <i t="grand">
      <x/>
    </i>
  </rowItems>
  <colFields count="1">
    <field x="14"/>
  </colFields>
  <colItems count="2">
    <i>
      <x v="1"/>
    </i>
    <i t="grand">
      <x/>
    </i>
  </colItems>
  <dataFields count="1">
    <dataField name="Count of Purchased Bike" fld="14" subtotal="count" baseField="0" baseItem="0"/>
  </dataFields>
  <chartFormats count="2">
    <chartFormat chart="0" format="0"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86FE1-C2EB-45DA-AF9A-4435FF56B0C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C18" firstHeaderRow="1" firstDataRow="2" firstDataCol="1"/>
  <pivotFields count="17">
    <pivotField showAll="0"/>
    <pivotField showAll="0"/>
    <pivotField showAll="0">
      <items count="3">
        <item x="1"/>
        <item x="0"/>
        <item t="default"/>
      </items>
    </pivotField>
    <pivotField numFmtId="164" showAll="0"/>
    <pivotField showAll="0">
      <items count="6">
        <item x="4"/>
        <item x="3"/>
        <item x="2"/>
        <item x="1"/>
        <item x="0"/>
        <item t="default"/>
      </items>
    </pivotField>
    <pivotField showAll="0"/>
    <pivotField showAll="0"/>
    <pivotField showAll="0"/>
    <pivotField showAll="0"/>
    <pivotField showAll="0"/>
    <pivotField showAll="0"/>
    <pivotField showAll="0"/>
    <pivotField showAll="0"/>
    <pivotField axis="axisRow" showAll="0">
      <items count="5">
        <item x="0"/>
        <item x="2"/>
        <item m="1" x="3"/>
        <item x="1"/>
        <item t="default"/>
      </items>
    </pivotField>
    <pivotField axis="axisCol" dataField="1" showAll="0">
      <items count="3">
        <item h="1" x="0"/>
        <item x="1"/>
        <item t="default"/>
      </items>
    </pivotField>
    <pivotField showAll="0"/>
    <pivotField showAll="0"/>
  </pivotFields>
  <rowFields count="1">
    <field x="13"/>
  </rowFields>
  <rowItems count="4">
    <i>
      <x/>
    </i>
    <i>
      <x v="1"/>
    </i>
    <i>
      <x v="3"/>
    </i>
    <i t="grand">
      <x/>
    </i>
  </rowItems>
  <colFields count="1">
    <field x="14"/>
  </colFields>
  <colItems count="2">
    <i>
      <x v="1"/>
    </i>
    <i t="grand">
      <x/>
    </i>
  </colItems>
  <dataFields count="1">
    <dataField name="Count of Purchased Bike" fld="14" subtotal="count" baseField="1" baseItem="0"/>
  </dataFields>
  <chartFormats count="3">
    <chartFormat chart="1" format="0" series="1">
      <pivotArea type="data" outline="0" fieldPosition="0">
        <references count="2">
          <reference field="4294967294" count="1" selected="0">
            <x v="0"/>
          </reference>
          <reference field="14" count="1" selected="0">
            <x v="1"/>
          </reference>
        </references>
      </pivotArea>
    </chartFormat>
    <chartFormat chart="6" format="0"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752E2D-25F4-4CA8-9AE0-785F2B20B654}"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rowPageCount="1" colPageCount="1"/>
  <pivotFields count="17">
    <pivotField showAll="0"/>
    <pivotField showAll="0"/>
    <pivotField showAll="0">
      <items count="3">
        <item x="1"/>
        <item x="0"/>
        <item t="default"/>
      </items>
    </pivotField>
    <pivotField numFmtId="164" showAll="0"/>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s>
  <rowItems count="1">
    <i/>
  </rowItems>
  <colItems count="1">
    <i/>
  </colItems>
  <pageFields count="1">
    <pageField fld="14" item="1" hier="-1"/>
  </pageFields>
  <dataFields count="1">
    <dataField name="Count of Purchased Bik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5CF6DF-03AC-44AD-ABE8-7B2B010624E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4" firstHeaderRow="0" firstDataRow="1" firstDataCol="0"/>
  <pivotFields count="17">
    <pivotField dataField="1" showAll="0"/>
    <pivotField showAll="0"/>
    <pivotField showAll="0">
      <items count="3">
        <item x="1"/>
        <item x="0"/>
        <item t="default"/>
      </items>
    </pivotField>
    <pivotField dataField="1" numFmtId="164" showAll="0"/>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ID" fld="0" subtotal="count" baseField="0" baseItem="0"/>
    <dataField name="Average of Income" fld="3" subtotal="average" baseField="0" baseItem="1" numFmtId="165"/>
  </dataFields>
  <formats count="1">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9B94BD-7B1E-4CAE-A951-B9A8D42E3EA5}" autoFormatId="16" applyNumberFormats="0" applyBorderFormats="0" applyFontFormats="0" applyPatternFormats="0" applyAlignmentFormats="0" applyWidthHeightFormats="0">
  <queryTableRefresh nextId="18" unboundColumnsRight="2">
    <queryTableFields count="17">
      <queryTableField id="1" name="ID" tableColumnId="1"/>
      <queryTableField id="2" name="Marital Status" tableColumnId="2"/>
      <queryTableField id="3" name="Gender" tableColumnId="3"/>
      <queryTableField id="4" name="Income" tableColumnId="4"/>
      <queryTableField id="17" dataBound="0" tableColumnId="1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5"/>
      <queryTableField id="13" name="Purchased Bike" tableColumnId="13"/>
      <queryTableField id="16" dataBound="0" tableColumnId="17"/>
      <queryTableField id="15"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9C65E7-9A42-40B6-AD24-551989158A69}" sourceName="Gender">
  <pivotTables>
    <pivotTable tabId="1" name="PivotTable7"/>
    <pivotTable tabId="1" name="PivotTable1"/>
    <pivotTable tabId="1" name="PivotTable2"/>
    <pivotTable tabId="1" name="PivotTable3"/>
    <pivotTable tabId="1" name="PivotTable4"/>
    <pivotTable tabId="1" name="PivotTable5"/>
    <pivotTable tabId="1" name="PivotTable6"/>
  </pivotTables>
  <data>
    <tabular pivotCacheId="124255086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114DDFF3-239F-4FFD-894F-CA9338BD0BFB}" sourceName="Income Group">
  <pivotTables>
    <pivotTable tabId="1" name="PivotTable7"/>
    <pivotTable tabId="1" name="PivotTable1"/>
    <pivotTable tabId="1" name="PivotTable2"/>
    <pivotTable tabId="1" name="PivotTable3"/>
    <pivotTable tabId="1" name="PivotTable4"/>
    <pivotTable tabId="1" name="PivotTable5"/>
    <pivotTable tabId="1" name="PivotTable6"/>
  </pivotTables>
  <data>
    <tabular pivotCacheId="1242550862">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168F18-7357-4EDB-BFCC-E7CB48B38C27}" cache="Slicer_Gender" caption="Gender" rowHeight="257175"/>
  <slicer name="Income Group" xr10:uid="{CB5DFF65-CCB6-4DFF-9344-9C7A0A8B66A1}" cache="Slicer_Income_Group" caption="Income Group"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E32677-A2A3-446C-B5D7-4870854A1B55}" name="bike_buyers" displayName="bike_buyers" ref="A1:Q1001" tableType="queryTable" totalsRowShown="0">
  <autoFilter ref="A1:Q1001" xr:uid="{25E32677-A2A3-446C-B5D7-4870854A1B55}"/>
  <sortState xmlns:xlrd2="http://schemas.microsoft.com/office/spreadsheetml/2017/richdata2" ref="A2:Q1001">
    <sortCondition descending="1" ref="E1:E1001"/>
  </sortState>
  <tableColumns count="17">
    <tableColumn id="1" xr3:uid="{4D158892-BA5E-4828-84EF-DAC8AA19B6DE}" uniqueName="1" name="ID" queryTableFieldId="1"/>
    <tableColumn id="2" xr3:uid="{55E64973-327F-4F15-8766-6A7FFF91D271}" uniqueName="2" name="Marriedarital Singletatus" queryTableFieldId="2" dataDxfId="26"/>
    <tableColumn id="3" xr3:uid="{EA40FD24-6560-44DB-811D-D4C612E55176}" uniqueName="3" name="Gender" queryTableFieldId="3" dataDxfId="25"/>
    <tableColumn id="4" xr3:uid="{38B5707F-DA23-4D0B-9F10-13362BE8D5C4}" uniqueName="4" name="Income" queryTableFieldId="4" dataDxfId="24"/>
    <tableColumn id="14" xr3:uid="{A69D9CF5-A9CD-4787-9C56-5FD1A758712A}" uniqueName="14" name="Income Group" queryTableFieldId="17" dataDxfId="13">
      <calculatedColumnFormula>IF(bike_buyers[[#This Row],[Income]]&lt;40000,"Under 40K", IF(bike_buyers[[#This Row],[Income]]&lt;60000,"40K-59K", IF(bike_buyers[[#This Row],[Income]]&lt;80000,"60K-79K", IF(bike_buyers[[#This Row],[Income]]&lt;100000,"80K-99K","100K+"))))</calculatedColumnFormula>
    </tableColumn>
    <tableColumn id="5" xr3:uid="{69839408-73CC-4877-AA3C-19F42240B3B1}" uniqueName="5" name="Children" queryTableFieldId="5"/>
    <tableColumn id="6" xr3:uid="{FAE64869-7A2A-46F3-A8A6-A3A4616E9476}" uniqueName="6" name="Education" queryTableFieldId="6" dataDxfId="23"/>
    <tableColumn id="7" xr3:uid="{5E8876F7-0CDE-4C3E-9769-17C32F3D3781}" uniqueName="7" name="Occupation" queryTableFieldId="7" dataDxfId="22"/>
    <tableColumn id="8" xr3:uid="{0CAAA91A-7AC9-40B4-B33B-0A615FC1BB0F}" uniqueName="8" name="Home Owner" queryTableFieldId="8" dataDxfId="21"/>
    <tableColumn id="9" xr3:uid="{3F9991AC-C3E3-4980-A60A-1198AB9E747D}" uniqueName="9" name="Cars" queryTableFieldId="9"/>
    <tableColumn id="10" xr3:uid="{75C5BF5D-01FF-4355-A10D-F8381E445AB7}" uniqueName="10" name="Commute Distance" queryTableFieldId="10" dataDxfId="20"/>
    <tableColumn id="11" xr3:uid="{90CC47DD-3243-4526-8C9C-DC8D08305C2F}" uniqueName="11" name="Region" queryTableFieldId="11" dataDxfId="19"/>
    <tableColumn id="12" xr3:uid="{28B6CB7D-B6FF-42DA-B7CC-6511C655B0B3}" uniqueName="12" name="Age" queryTableFieldId="12"/>
    <tableColumn id="15" xr3:uid="{E15DBC84-1801-40D1-A298-8E3938C3263E}" uniqueName="15" name="Age Category" queryTableFieldId="14" dataDxfId="18">
      <calculatedColumnFormula array="1">_xlfn.IFS(M2&lt;40, " Adult", M2&lt;60, "Middle Age", M2&gt;=60, "Older Adult")</calculatedColumnFormula>
    </tableColumn>
    <tableColumn id="13" xr3:uid="{150947D8-DEC0-4314-BC37-066B73D959C7}" uniqueName="13" name="Purchased Bike" queryTableFieldId="13" dataDxfId="17"/>
    <tableColumn id="17" xr3:uid="{6ABA9D57-95B6-4729-BF45-48FD09AF7D75}" uniqueName="17" name="Purchased Bike Numerical" queryTableFieldId="16" dataDxfId="16">
      <calculatedColumnFormula>IF(O2="Yes", 1)</calculatedColumnFormula>
    </tableColumn>
    <tableColumn id="16" xr3:uid="{EDFDC2EE-F06B-4B33-9ED9-BB61E0A32813}" uniqueName="16" name="Bike Purchaser Rate" queryTableFieldId="15"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8D84-CD12-4985-BCEB-F30039A9DBFA}">
  <dimension ref="A1:Q1053"/>
  <sheetViews>
    <sheetView topLeftCell="A259" workbookViewId="0">
      <selection activeCell="K2" sqref="K2:K1001"/>
    </sheetView>
  </sheetViews>
  <sheetFormatPr defaultRowHeight="15" x14ac:dyDescent="0.25"/>
  <cols>
    <col min="1" max="1" width="6" bestFit="1" customWidth="1"/>
    <col min="2" max="2" width="15.7109375" customWidth="1"/>
    <col min="3" max="3" width="10" bestFit="1" customWidth="1"/>
    <col min="4" max="4" width="10" style="2" bestFit="1" customWidth="1"/>
    <col min="5" max="5" width="10" style="2" customWidth="1"/>
    <col min="6" max="6" width="11.140625" bestFit="1" customWidth="1"/>
    <col min="7" max="7" width="18" bestFit="1" customWidth="1"/>
    <col min="8" max="8" width="14.140625" bestFit="1" customWidth="1"/>
    <col min="9" max="9" width="15" bestFit="1" customWidth="1"/>
    <col min="10" max="10" width="7.42578125" bestFit="1" customWidth="1"/>
    <col min="11" max="11" width="21" bestFit="1" customWidth="1"/>
    <col min="12" max="12" width="13.85546875" bestFit="1" customWidth="1"/>
    <col min="13" max="13" width="6.5703125" bestFit="1" customWidth="1"/>
    <col min="14" max="14" width="15.140625" bestFit="1" customWidth="1"/>
    <col min="15" max="15" width="17.140625" bestFit="1" customWidth="1"/>
    <col min="16" max="16" width="27.140625" bestFit="1" customWidth="1"/>
    <col min="17" max="17" width="21.42578125" bestFit="1" customWidth="1"/>
  </cols>
  <sheetData>
    <row r="1" spans="1:17" x14ac:dyDescent="0.25">
      <c r="A1" t="s">
        <v>0</v>
      </c>
      <c r="B1" t="s">
        <v>35</v>
      </c>
      <c r="C1" t="s">
        <v>1</v>
      </c>
      <c r="D1" s="2" t="s">
        <v>2</v>
      </c>
      <c r="E1" s="2" t="s">
        <v>54</v>
      </c>
      <c r="F1" t="s">
        <v>3</v>
      </c>
      <c r="G1" t="s">
        <v>4</v>
      </c>
      <c r="H1" t="s">
        <v>5</v>
      </c>
      <c r="I1" t="s">
        <v>6</v>
      </c>
      <c r="J1" t="s">
        <v>7</v>
      </c>
      <c r="K1" t="s">
        <v>8</v>
      </c>
      <c r="L1" t="s">
        <v>9</v>
      </c>
      <c r="M1" t="s">
        <v>10</v>
      </c>
      <c r="N1" t="s">
        <v>36</v>
      </c>
      <c r="O1" t="s">
        <v>11</v>
      </c>
      <c r="P1" t="s">
        <v>40</v>
      </c>
      <c r="Q1" t="s">
        <v>37</v>
      </c>
    </row>
    <row r="2" spans="1:17" x14ac:dyDescent="0.25">
      <c r="A2">
        <v>24107</v>
      </c>
      <c r="B2" s="1" t="s">
        <v>31</v>
      </c>
      <c r="C2" s="1" t="s">
        <v>32</v>
      </c>
      <c r="D2" s="2">
        <v>30000</v>
      </c>
      <c r="E2" s="2" t="str">
        <f>IF(bike_buyers[[#This Row],[Income]]&lt;40000,"Under 40K", IF(bike_buyers[[#This Row],[Income]]&lt;60000,"40K-59K", IF(bike_buyers[[#This Row],[Income]]&lt;80000,"60K-79K", IF(bike_buyers[[#This Row],[Income]]&lt;100000,"80K-99K","100K+"))))</f>
        <v>Under 40K</v>
      </c>
      <c r="F2">
        <v>3</v>
      </c>
      <c r="G2" s="1" t="s">
        <v>18</v>
      </c>
      <c r="H2" s="1" t="s">
        <v>19</v>
      </c>
      <c r="I2" s="1" t="s">
        <v>14</v>
      </c>
      <c r="J2">
        <v>1</v>
      </c>
      <c r="K2" s="1" t="s">
        <v>15</v>
      </c>
      <c r="L2" s="1" t="s">
        <v>16</v>
      </c>
      <c r="M2">
        <v>43</v>
      </c>
      <c r="N2" s="1" t="str" cm="1">
        <f t="array" ref="N2">_xlfn.IFS(M2&lt;40, " Adult", M2&lt;60, "Middle Age", M2&gt;=60, "Older Adult")</f>
        <v>Middle Age</v>
      </c>
      <c r="O2" s="1" t="s">
        <v>17</v>
      </c>
      <c r="P2" s="1" t="b">
        <f>IF(O2="Yes", 1)</f>
        <v>0</v>
      </c>
      <c r="Q2" s="1"/>
    </row>
    <row r="3" spans="1:17" x14ac:dyDescent="0.25">
      <c r="A3">
        <v>25597</v>
      </c>
      <c r="B3" s="1" t="s">
        <v>34</v>
      </c>
      <c r="C3" s="1" t="s">
        <v>32</v>
      </c>
      <c r="D3" s="2">
        <v>30000</v>
      </c>
      <c r="E3" s="2" t="str">
        <f>IF(bike_buyers[[#This Row],[Income]]&lt;40000,"Under 40K", IF(bike_buyers[[#This Row],[Income]]&lt;60000,"40K-59K", IF(bike_buyers[[#This Row],[Income]]&lt;80000,"60K-79K", IF(bike_buyers[[#This Row],[Income]]&lt;100000,"80K-99K","100K+"))))</f>
        <v>Under 40K</v>
      </c>
      <c r="F3">
        <v>0</v>
      </c>
      <c r="G3" s="1" t="s">
        <v>12</v>
      </c>
      <c r="H3" s="1" t="s">
        <v>19</v>
      </c>
      <c r="I3" s="1" t="s">
        <v>17</v>
      </c>
      <c r="J3">
        <v>0</v>
      </c>
      <c r="K3" s="1" t="s">
        <v>15</v>
      </c>
      <c r="L3" s="1" t="s">
        <v>16</v>
      </c>
      <c r="M3">
        <v>36</v>
      </c>
      <c r="N3" s="1" t="str" cm="1">
        <f t="array" ref="N3">_xlfn.IFS(M3&lt;40, " Adult", M3&lt;60, "Middle Age", M3&gt;=60, "Older Adult")</f>
        <v xml:space="preserve"> Adult</v>
      </c>
      <c r="O3" s="1" t="s">
        <v>14</v>
      </c>
      <c r="P3" s="1">
        <f>IF(O3="Yes", 1)</f>
        <v>1</v>
      </c>
      <c r="Q3" s="1"/>
    </row>
    <row r="4" spans="1:17" x14ac:dyDescent="0.25">
      <c r="A4">
        <v>13507</v>
      </c>
      <c r="B4" s="1" t="s">
        <v>31</v>
      </c>
      <c r="C4" s="1" t="s">
        <v>33</v>
      </c>
      <c r="D4" s="2">
        <v>10000</v>
      </c>
      <c r="E4" s="2" t="str">
        <f>IF(bike_buyers[[#This Row],[Income]]&lt;40000,"Under 40K", IF(bike_buyers[[#This Row],[Income]]&lt;60000,"40K-59K", IF(bike_buyers[[#This Row],[Income]]&lt;80000,"60K-79K", IF(bike_buyers[[#This Row],[Income]]&lt;100000,"80K-99K","100K+"))))</f>
        <v>Under 40K</v>
      </c>
      <c r="F4">
        <v>2</v>
      </c>
      <c r="G4" s="1" t="s">
        <v>18</v>
      </c>
      <c r="H4" s="1" t="s">
        <v>24</v>
      </c>
      <c r="I4" s="1" t="s">
        <v>14</v>
      </c>
      <c r="J4">
        <v>0</v>
      </c>
      <c r="K4" s="1" t="s">
        <v>25</v>
      </c>
      <c r="L4" s="1" t="s">
        <v>16</v>
      </c>
      <c r="M4">
        <v>50</v>
      </c>
      <c r="N4" s="1" t="str" cm="1">
        <f t="array" ref="N4">_xlfn.IFS(M4&lt;40, " Adult", M4&lt;60, "Middle Age", M4&gt;=60, "Older Adult")</f>
        <v>Middle Age</v>
      </c>
      <c r="O4" s="1" t="s">
        <v>17</v>
      </c>
      <c r="P4" s="1" t="b">
        <f>IF(O4="Yes", 1)</f>
        <v>0</v>
      </c>
      <c r="Q4" s="1"/>
    </row>
    <row r="5" spans="1:17" x14ac:dyDescent="0.25">
      <c r="A5">
        <v>22155</v>
      </c>
      <c r="B5" s="1" t="s">
        <v>31</v>
      </c>
      <c r="C5" s="1" t="s">
        <v>32</v>
      </c>
      <c r="D5" s="2">
        <v>20000</v>
      </c>
      <c r="E5" s="2" t="str">
        <f>IF(bike_buyers[[#This Row],[Income]]&lt;40000,"Under 40K", IF(bike_buyers[[#This Row],[Income]]&lt;60000,"40K-59K", IF(bike_buyers[[#This Row],[Income]]&lt;80000,"60K-79K", IF(bike_buyers[[#This Row],[Income]]&lt;100000,"80K-99K","100K+"))))</f>
        <v>Under 40K</v>
      </c>
      <c r="F5">
        <v>2</v>
      </c>
      <c r="G5" s="1" t="s">
        <v>28</v>
      </c>
      <c r="H5" s="1" t="s">
        <v>19</v>
      </c>
      <c r="I5" s="1" t="s">
        <v>14</v>
      </c>
      <c r="J5">
        <v>2</v>
      </c>
      <c r="K5" s="1" t="s">
        <v>22</v>
      </c>
      <c r="L5" s="1" t="s">
        <v>23</v>
      </c>
      <c r="M5">
        <v>58</v>
      </c>
      <c r="N5" s="1" t="str" cm="1">
        <f t="array" ref="N5">_xlfn.IFS(M5&lt;40, " Adult", M5&lt;60, "Middle Age", M5&gt;=60, "Older Adult")</f>
        <v>Middle Age</v>
      </c>
      <c r="O5" s="1" t="s">
        <v>17</v>
      </c>
      <c r="P5" s="1" t="b">
        <f>IF(O5="Yes", 1)</f>
        <v>0</v>
      </c>
      <c r="Q5" s="1"/>
    </row>
    <row r="6" spans="1:17" x14ac:dyDescent="0.25">
      <c r="A6">
        <v>22173</v>
      </c>
      <c r="B6" s="1" t="s">
        <v>31</v>
      </c>
      <c r="C6" s="1" t="s">
        <v>33</v>
      </c>
      <c r="D6" s="2">
        <v>30000</v>
      </c>
      <c r="E6" s="2" t="str">
        <f>IF(bike_buyers[[#This Row],[Income]]&lt;40000,"Under 40K", IF(bike_buyers[[#This Row],[Income]]&lt;60000,"40K-59K", IF(bike_buyers[[#This Row],[Income]]&lt;80000,"60K-79K", IF(bike_buyers[[#This Row],[Income]]&lt;100000,"80K-99K","100K+"))))</f>
        <v>Under 40K</v>
      </c>
      <c r="F6">
        <v>3</v>
      </c>
      <c r="G6" s="1" t="s">
        <v>26</v>
      </c>
      <c r="H6" s="1" t="s">
        <v>13</v>
      </c>
      <c r="I6" s="1" t="s">
        <v>17</v>
      </c>
      <c r="J6">
        <v>2</v>
      </c>
      <c r="K6" s="1" t="s">
        <v>25</v>
      </c>
      <c r="L6" s="1" t="s">
        <v>23</v>
      </c>
      <c r="M6">
        <v>54</v>
      </c>
      <c r="N6" s="1" t="str" cm="1">
        <f t="array" ref="N6">_xlfn.IFS(M6&lt;40, " Adult", M6&lt;60, "Middle Age", M6&gt;=60, "Older Adult")</f>
        <v>Middle Age</v>
      </c>
      <c r="O6" s="1" t="s">
        <v>14</v>
      </c>
      <c r="P6" s="1">
        <f>IF(O6="Yes", 1)</f>
        <v>1</v>
      </c>
      <c r="Q6" s="1"/>
    </row>
    <row r="7" spans="1:17" x14ac:dyDescent="0.25">
      <c r="A7">
        <v>20870</v>
      </c>
      <c r="B7" s="1" t="s">
        <v>34</v>
      </c>
      <c r="C7" s="1" t="s">
        <v>33</v>
      </c>
      <c r="D7" s="2">
        <v>10000</v>
      </c>
      <c r="E7" s="2" t="str">
        <f>IF(bike_buyers[[#This Row],[Income]]&lt;40000,"Under 40K", IF(bike_buyers[[#This Row],[Income]]&lt;60000,"40K-59K", IF(bike_buyers[[#This Row],[Income]]&lt;80000,"60K-79K", IF(bike_buyers[[#This Row],[Income]]&lt;100000,"80K-99K","100K+"))))</f>
        <v>Under 40K</v>
      </c>
      <c r="F7">
        <v>2</v>
      </c>
      <c r="G7" s="1" t="s">
        <v>26</v>
      </c>
      <c r="H7" s="1" t="s">
        <v>24</v>
      </c>
      <c r="I7" s="1" t="s">
        <v>14</v>
      </c>
      <c r="J7">
        <v>1</v>
      </c>
      <c r="K7" s="1" t="s">
        <v>15</v>
      </c>
      <c r="L7" s="1" t="s">
        <v>16</v>
      </c>
      <c r="M7">
        <v>38</v>
      </c>
      <c r="N7" s="1" t="str" cm="1">
        <f t="array" ref="N7">_xlfn.IFS(M7&lt;40, " Adult", M7&lt;60, "Middle Age", M7&gt;=60, "Older Adult")</f>
        <v xml:space="preserve"> Adult</v>
      </c>
      <c r="O7" s="1" t="s">
        <v>14</v>
      </c>
      <c r="P7" s="1">
        <f>IF(O7="Yes", 1)</f>
        <v>1</v>
      </c>
      <c r="Q7" s="1"/>
    </row>
    <row r="8" spans="1:17" x14ac:dyDescent="0.25">
      <c r="A8">
        <v>23316</v>
      </c>
      <c r="B8" s="1" t="s">
        <v>34</v>
      </c>
      <c r="C8" s="1" t="s">
        <v>32</v>
      </c>
      <c r="D8" s="2">
        <v>30000</v>
      </c>
      <c r="E8" s="2" t="str">
        <f>IF(bike_buyers[[#This Row],[Income]]&lt;40000,"Under 40K", IF(bike_buyers[[#This Row],[Income]]&lt;60000,"40K-59K", IF(bike_buyers[[#This Row],[Income]]&lt;80000,"60K-79K", IF(bike_buyers[[#This Row],[Income]]&lt;100000,"80K-99K","100K+"))))</f>
        <v>Under 40K</v>
      </c>
      <c r="F8">
        <v>3</v>
      </c>
      <c r="G8" s="1" t="s">
        <v>18</v>
      </c>
      <c r="H8" s="1" t="s">
        <v>19</v>
      </c>
      <c r="I8" s="1" t="s">
        <v>17</v>
      </c>
      <c r="J8">
        <v>2</v>
      </c>
      <c r="K8" s="1" t="s">
        <v>25</v>
      </c>
      <c r="L8" s="1" t="s">
        <v>23</v>
      </c>
      <c r="M8">
        <v>59</v>
      </c>
      <c r="N8" s="1" t="str" cm="1">
        <f t="array" ref="N8">_xlfn.IFS(M8&lt;40, " Adult", M8&lt;60, "Middle Age", M8&gt;=60, "Older Adult")</f>
        <v>Middle Age</v>
      </c>
      <c r="O8" s="1" t="s">
        <v>14</v>
      </c>
      <c r="P8" s="1">
        <f>IF(O8="Yes", 1)</f>
        <v>1</v>
      </c>
      <c r="Q8" s="1"/>
    </row>
    <row r="9" spans="1:17" x14ac:dyDescent="0.25">
      <c r="A9">
        <v>12610</v>
      </c>
      <c r="B9" s="1" t="s">
        <v>31</v>
      </c>
      <c r="C9" s="1" t="s">
        <v>33</v>
      </c>
      <c r="D9" s="2">
        <v>30000</v>
      </c>
      <c r="E9" s="2" t="str">
        <f>IF(bike_buyers[[#This Row],[Income]]&lt;40000,"Under 40K", IF(bike_buyers[[#This Row],[Income]]&lt;60000,"40K-59K", IF(bike_buyers[[#This Row],[Income]]&lt;80000,"60K-79K", IF(bike_buyers[[#This Row],[Income]]&lt;100000,"80K-99K","100K+"))))</f>
        <v>Under 40K</v>
      </c>
      <c r="F9">
        <v>1</v>
      </c>
      <c r="G9" s="1" t="s">
        <v>12</v>
      </c>
      <c r="H9" s="1" t="s">
        <v>19</v>
      </c>
      <c r="I9" s="1" t="s">
        <v>14</v>
      </c>
      <c r="J9">
        <v>0</v>
      </c>
      <c r="K9" s="1" t="s">
        <v>15</v>
      </c>
      <c r="L9" s="1" t="s">
        <v>16</v>
      </c>
      <c r="M9">
        <v>47</v>
      </c>
      <c r="N9" s="1" t="str" cm="1">
        <f t="array" ref="N9">_xlfn.IFS(M9&lt;40, " Adult", M9&lt;60, "Middle Age", M9&gt;=60, "Older Adult")</f>
        <v>Middle Age</v>
      </c>
      <c r="O9" s="1" t="s">
        <v>17</v>
      </c>
      <c r="P9" s="1" t="b">
        <f>IF(O9="Yes", 1)</f>
        <v>0</v>
      </c>
      <c r="Q9" s="1"/>
    </row>
    <row r="10" spans="1:17" x14ac:dyDescent="0.25">
      <c r="A10">
        <v>25940</v>
      </c>
      <c r="B10" s="1" t="s">
        <v>34</v>
      </c>
      <c r="C10" s="1" t="s">
        <v>32</v>
      </c>
      <c r="D10" s="2">
        <v>20000</v>
      </c>
      <c r="E10" s="2" t="str">
        <f>IF(bike_buyers[[#This Row],[Income]]&lt;40000,"Under 40K", IF(bike_buyers[[#This Row],[Income]]&lt;60000,"40K-59K", IF(bike_buyers[[#This Row],[Income]]&lt;80000,"60K-79K", IF(bike_buyers[[#This Row],[Income]]&lt;100000,"80K-99K","100K+"))))</f>
        <v>Under 40K</v>
      </c>
      <c r="F10">
        <v>2</v>
      </c>
      <c r="G10" s="1" t="s">
        <v>28</v>
      </c>
      <c r="H10" s="1" t="s">
        <v>19</v>
      </c>
      <c r="I10" s="1" t="s">
        <v>14</v>
      </c>
      <c r="J10">
        <v>2</v>
      </c>
      <c r="K10" s="1" t="s">
        <v>22</v>
      </c>
      <c r="L10" s="1" t="s">
        <v>23</v>
      </c>
      <c r="M10">
        <v>55</v>
      </c>
      <c r="N10" s="1" t="str" cm="1">
        <f t="array" ref="N10">_xlfn.IFS(M10&lt;40, " Adult", M10&lt;60, "Middle Age", M10&gt;=60, "Older Adult")</f>
        <v>Middle Age</v>
      </c>
      <c r="O10" s="1" t="s">
        <v>14</v>
      </c>
      <c r="P10" s="1">
        <f>IF(O10="Yes", 1)</f>
        <v>1</v>
      </c>
      <c r="Q10" s="1"/>
    </row>
    <row r="11" spans="1:17" x14ac:dyDescent="0.25">
      <c r="A11">
        <v>12590</v>
      </c>
      <c r="B11" s="1" t="s">
        <v>34</v>
      </c>
      <c r="C11" s="1" t="s">
        <v>32</v>
      </c>
      <c r="D11" s="2">
        <v>30000</v>
      </c>
      <c r="E11" s="2" t="str">
        <f>IF(bike_buyers[[#This Row],[Income]]&lt;40000,"Under 40K", IF(bike_buyers[[#This Row],[Income]]&lt;60000,"40K-59K", IF(bike_buyers[[#This Row],[Income]]&lt;80000,"60K-79K", IF(bike_buyers[[#This Row],[Income]]&lt;100000,"80K-99K","100K+"))))</f>
        <v>Under 40K</v>
      </c>
      <c r="F11">
        <v>1</v>
      </c>
      <c r="G11" s="1" t="s">
        <v>12</v>
      </c>
      <c r="H11" s="1" t="s">
        <v>19</v>
      </c>
      <c r="I11" s="1" t="s">
        <v>14</v>
      </c>
      <c r="J11">
        <v>0</v>
      </c>
      <c r="K11" s="1" t="s">
        <v>15</v>
      </c>
      <c r="L11" s="1" t="s">
        <v>16</v>
      </c>
      <c r="M11">
        <v>63</v>
      </c>
      <c r="N11" s="1" t="str" cm="1">
        <f t="array" ref="N11">_xlfn.IFS(M11&lt;40, " Adult", M11&lt;60, "Middle Age", M11&gt;=60, "Older Adult")</f>
        <v>Older Adult</v>
      </c>
      <c r="O11" s="1" t="s">
        <v>17</v>
      </c>
      <c r="P11" s="1" t="b">
        <f>IF(O11="Yes", 1)</f>
        <v>0</v>
      </c>
      <c r="Q11" s="1"/>
    </row>
    <row r="12" spans="1:17" x14ac:dyDescent="0.25">
      <c r="A12">
        <v>17841</v>
      </c>
      <c r="B12" s="1" t="s">
        <v>34</v>
      </c>
      <c r="C12" s="1" t="s">
        <v>32</v>
      </c>
      <c r="D12" s="2">
        <v>30000</v>
      </c>
      <c r="E12" s="2" t="str">
        <f>IF(bike_buyers[[#This Row],[Income]]&lt;40000,"Under 40K", IF(bike_buyers[[#This Row],[Income]]&lt;60000,"40K-59K", IF(bike_buyers[[#This Row],[Income]]&lt;80000,"60K-79K", IF(bike_buyers[[#This Row],[Income]]&lt;100000,"80K-99K","100K+"))))</f>
        <v>Under 40K</v>
      </c>
      <c r="F12">
        <v>0</v>
      </c>
      <c r="G12" s="1" t="s">
        <v>18</v>
      </c>
      <c r="H12" s="1" t="s">
        <v>19</v>
      </c>
      <c r="I12" s="1" t="s">
        <v>17</v>
      </c>
      <c r="J12">
        <v>1</v>
      </c>
      <c r="K12" s="1" t="s">
        <v>15</v>
      </c>
      <c r="L12" s="1" t="s">
        <v>16</v>
      </c>
      <c r="M12">
        <v>29</v>
      </c>
      <c r="N12" s="1" t="str" cm="1">
        <f t="array" ref="N12">_xlfn.IFS(M12&lt;40, " Adult", M12&lt;60, "Middle Age", M12&gt;=60, "Older Adult")</f>
        <v xml:space="preserve"> Adult</v>
      </c>
      <c r="O12" s="1" t="s">
        <v>14</v>
      </c>
      <c r="P12" s="1">
        <f>IF(O12="Yes", 1)</f>
        <v>1</v>
      </c>
      <c r="Q12" s="1"/>
    </row>
    <row r="13" spans="1:17" x14ac:dyDescent="0.25">
      <c r="A13">
        <v>16466</v>
      </c>
      <c r="B13" s="1" t="s">
        <v>34</v>
      </c>
      <c r="C13" s="1" t="s">
        <v>33</v>
      </c>
      <c r="D13" s="2">
        <v>20000</v>
      </c>
      <c r="E13" s="2" t="str">
        <f>IF(bike_buyers[[#This Row],[Income]]&lt;40000,"Under 40K", IF(bike_buyers[[#This Row],[Income]]&lt;60000,"40K-59K", IF(bike_buyers[[#This Row],[Income]]&lt;80000,"60K-79K", IF(bike_buyers[[#This Row],[Income]]&lt;100000,"80K-99K","100K+"))))</f>
        <v>Under 40K</v>
      </c>
      <c r="F13">
        <v>0</v>
      </c>
      <c r="G13" s="1" t="s">
        <v>28</v>
      </c>
      <c r="H13" s="1" t="s">
        <v>24</v>
      </c>
      <c r="I13" s="1" t="s">
        <v>17</v>
      </c>
      <c r="J13">
        <v>2</v>
      </c>
      <c r="K13" s="1" t="s">
        <v>15</v>
      </c>
      <c r="L13" s="1" t="s">
        <v>16</v>
      </c>
      <c r="M13">
        <v>32</v>
      </c>
      <c r="N13" s="1" t="str" cm="1">
        <f t="array" ref="N13">_xlfn.IFS(M13&lt;40, " Adult", M13&lt;60, "Middle Age", M13&gt;=60, "Older Adult")</f>
        <v xml:space="preserve"> Adult</v>
      </c>
      <c r="O13" s="1" t="s">
        <v>14</v>
      </c>
      <c r="P13" s="1">
        <f>IF(O13="Yes", 1)</f>
        <v>1</v>
      </c>
      <c r="Q13" s="1"/>
    </row>
    <row r="14" spans="1:17" x14ac:dyDescent="0.25">
      <c r="A14">
        <v>19273</v>
      </c>
      <c r="B14" s="1" t="s">
        <v>31</v>
      </c>
      <c r="C14" s="1" t="s">
        <v>33</v>
      </c>
      <c r="D14" s="2">
        <v>20000</v>
      </c>
      <c r="E14" s="2" t="str">
        <f>IF(bike_buyers[[#This Row],[Income]]&lt;40000,"Under 40K", IF(bike_buyers[[#This Row],[Income]]&lt;60000,"40K-59K", IF(bike_buyers[[#This Row],[Income]]&lt;80000,"60K-79K", IF(bike_buyers[[#This Row],[Income]]&lt;100000,"80K-99K","100K+"))))</f>
        <v>Under 40K</v>
      </c>
      <c r="F14">
        <v>2</v>
      </c>
      <c r="G14" s="1" t="s">
        <v>18</v>
      </c>
      <c r="H14" s="1" t="s">
        <v>24</v>
      </c>
      <c r="I14" s="1" t="s">
        <v>14</v>
      </c>
      <c r="J14">
        <v>0</v>
      </c>
      <c r="K14" s="1" t="s">
        <v>15</v>
      </c>
      <c r="L14" s="1" t="s">
        <v>16</v>
      </c>
      <c r="M14">
        <v>63</v>
      </c>
      <c r="N14" s="1" t="str" cm="1">
        <f t="array" ref="N14">_xlfn.IFS(M14&lt;40, " Adult", M14&lt;60, "Middle Age", M14&gt;=60, "Older Adult")</f>
        <v>Older Adult</v>
      </c>
      <c r="O14" s="1" t="s">
        <v>17</v>
      </c>
      <c r="P14" s="1" t="b">
        <f>IF(O14="Yes", 1)</f>
        <v>0</v>
      </c>
      <c r="Q14" s="1"/>
    </row>
    <row r="15" spans="1:17" x14ac:dyDescent="0.25">
      <c r="A15">
        <v>22400</v>
      </c>
      <c r="B15" s="1" t="s">
        <v>31</v>
      </c>
      <c r="C15" s="1" t="s">
        <v>32</v>
      </c>
      <c r="D15" s="2">
        <v>10000</v>
      </c>
      <c r="E15" s="2" t="str">
        <f>IF(bike_buyers[[#This Row],[Income]]&lt;40000,"Under 40K", IF(bike_buyers[[#This Row],[Income]]&lt;60000,"40K-59K", IF(bike_buyers[[#This Row],[Income]]&lt;80000,"60K-79K", IF(bike_buyers[[#This Row],[Income]]&lt;100000,"80K-99K","100K+"))))</f>
        <v>Under 40K</v>
      </c>
      <c r="F15">
        <v>0</v>
      </c>
      <c r="G15" s="1" t="s">
        <v>18</v>
      </c>
      <c r="H15" s="1" t="s">
        <v>24</v>
      </c>
      <c r="I15" s="1" t="s">
        <v>17</v>
      </c>
      <c r="J15">
        <v>1</v>
      </c>
      <c r="K15" s="1" t="s">
        <v>15</v>
      </c>
      <c r="L15" s="1" t="s">
        <v>23</v>
      </c>
      <c r="M15">
        <v>26</v>
      </c>
      <c r="N15" s="1" t="str" cm="1">
        <f t="array" ref="N15">_xlfn.IFS(M15&lt;40, " Adult", M15&lt;60, "Middle Age", M15&gt;=60, "Older Adult")</f>
        <v xml:space="preserve"> Adult</v>
      </c>
      <c r="O15" s="1" t="s">
        <v>14</v>
      </c>
      <c r="P15" s="1">
        <f>IF(O15="Yes", 1)</f>
        <v>1</v>
      </c>
      <c r="Q15" s="1"/>
    </row>
    <row r="16" spans="1:17" x14ac:dyDescent="0.25">
      <c r="A16">
        <v>20942</v>
      </c>
      <c r="B16" s="1" t="s">
        <v>34</v>
      </c>
      <c r="C16" s="1" t="s">
        <v>33</v>
      </c>
      <c r="D16" s="2">
        <v>20000</v>
      </c>
      <c r="E16" s="2" t="str">
        <f>IF(bike_buyers[[#This Row],[Income]]&lt;40000,"Under 40K", IF(bike_buyers[[#This Row],[Income]]&lt;60000,"40K-59K", IF(bike_buyers[[#This Row],[Income]]&lt;80000,"60K-79K", IF(bike_buyers[[#This Row],[Income]]&lt;100000,"80K-99K","100K+"))))</f>
        <v>Under 40K</v>
      </c>
      <c r="F16">
        <v>0</v>
      </c>
      <c r="G16" s="1" t="s">
        <v>26</v>
      </c>
      <c r="H16" s="1" t="s">
        <v>24</v>
      </c>
      <c r="I16" s="1" t="s">
        <v>17</v>
      </c>
      <c r="J16">
        <v>1</v>
      </c>
      <c r="K16" s="1" t="s">
        <v>22</v>
      </c>
      <c r="L16" s="1" t="s">
        <v>16</v>
      </c>
      <c r="M16">
        <v>31</v>
      </c>
      <c r="N16" s="1" t="str" cm="1">
        <f t="array" ref="N16">_xlfn.IFS(M16&lt;40, " Adult", M16&lt;60, "Middle Age", M16&gt;=60, "Older Adult")</f>
        <v xml:space="preserve"> Adult</v>
      </c>
      <c r="O16" s="1" t="s">
        <v>17</v>
      </c>
      <c r="P16" s="1" t="b">
        <f>IF(O16="Yes", 1)</f>
        <v>0</v>
      </c>
      <c r="Q16" s="1"/>
    </row>
    <row r="17" spans="1:17" x14ac:dyDescent="0.25">
      <c r="A17">
        <v>28380</v>
      </c>
      <c r="B17" s="1" t="s">
        <v>34</v>
      </c>
      <c r="C17" s="1" t="s">
        <v>33</v>
      </c>
      <c r="D17" s="2">
        <v>10000</v>
      </c>
      <c r="E17" s="2" t="str">
        <f>IF(bike_buyers[[#This Row],[Income]]&lt;40000,"Under 40K", IF(bike_buyers[[#This Row],[Income]]&lt;60000,"40K-59K", IF(bike_buyers[[#This Row],[Income]]&lt;80000,"60K-79K", IF(bike_buyers[[#This Row],[Income]]&lt;100000,"80K-99K","100K+"))))</f>
        <v>Under 40K</v>
      </c>
      <c r="F17">
        <v>5</v>
      </c>
      <c r="G17" s="1" t="s">
        <v>28</v>
      </c>
      <c r="H17" s="1" t="s">
        <v>24</v>
      </c>
      <c r="I17" s="1" t="s">
        <v>17</v>
      </c>
      <c r="J17">
        <v>2</v>
      </c>
      <c r="K17" s="1" t="s">
        <v>15</v>
      </c>
      <c r="L17" s="1" t="s">
        <v>16</v>
      </c>
      <c r="M17">
        <v>41</v>
      </c>
      <c r="N17" s="1" t="str" cm="1">
        <f t="array" ref="N17">_xlfn.IFS(M17&lt;40, " Adult", M17&lt;60, "Middle Age", M17&gt;=60, "Older Adult")</f>
        <v>Middle Age</v>
      </c>
      <c r="O17" s="1" t="s">
        <v>17</v>
      </c>
      <c r="P17" s="1" t="b">
        <f>IF(O17="Yes", 1)</f>
        <v>0</v>
      </c>
      <c r="Q17" s="1"/>
    </row>
    <row r="18" spans="1:17" x14ac:dyDescent="0.25">
      <c r="A18">
        <v>17891</v>
      </c>
      <c r="B18" s="1" t="s">
        <v>31</v>
      </c>
      <c r="C18" s="1" t="s">
        <v>33</v>
      </c>
      <c r="D18" s="2">
        <v>10000</v>
      </c>
      <c r="E18" s="2" t="str">
        <f>IF(bike_buyers[[#This Row],[Income]]&lt;40000,"Under 40K", IF(bike_buyers[[#This Row],[Income]]&lt;60000,"40K-59K", IF(bike_buyers[[#This Row],[Income]]&lt;80000,"60K-79K", IF(bike_buyers[[#This Row],[Income]]&lt;100000,"80K-99K","100K+"))))</f>
        <v>Under 40K</v>
      </c>
      <c r="F18">
        <v>2</v>
      </c>
      <c r="G18" s="1" t="s">
        <v>18</v>
      </c>
      <c r="H18" s="1" t="s">
        <v>24</v>
      </c>
      <c r="I18" s="1" t="s">
        <v>14</v>
      </c>
      <c r="J18">
        <v>1</v>
      </c>
      <c r="K18" s="1" t="s">
        <v>15</v>
      </c>
      <c r="L18" s="1" t="s">
        <v>16</v>
      </c>
      <c r="M18">
        <v>50</v>
      </c>
      <c r="N18" s="1" t="str" cm="1">
        <f t="array" ref="N18">_xlfn.IFS(M18&lt;40, " Adult", M18&lt;60, "Middle Age", M18&gt;=60, "Older Adult")</f>
        <v>Middle Age</v>
      </c>
      <c r="O18" s="1" t="s">
        <v>14</v>
      </c>
      <c r="P18" s="1">
        <f>IF(O18="Yes", 1)</f>
        <v>1</v>
      </c>
      <c r="Q18" s="1"/>
    </row>
    <row r="19" spans="1:17" x14ac:dyDescent="0.25">
      <c r="A19">
        <v>27832</v>
      </c>
      <c r="B19" s="1" t="s">
        <v>34</v>
      </c>
      <c r="C19" s="1" t="s">
        <v>33</v>
      </c>
      <c r="D19" s="2">
        <v>30000</v>
      </c>
      <c r="E19" s="2" t="str">
        <f>IF(bike_buyers[[#This Row],[Income]]&lt;40000,"Under 40K", IF(bike_buyers[[#This Row],[Income]]&lt;60000,"40K-59K", IF(bike_buyers[[#This Row],[Income]]&lt;80000,"60K-79K", IF(bike_buyers[[#This Row],[Income]]&lt;100000,"80K-99K","100K+"))))</f>
        <v>Under 40K</v>
      </c>
      <c r="F19">
        <v>0</v>
      </c>
      <c r="G19" s="1" t="s">
        <v>18</v>
      </c>
      <c r="H19" s="1" t="s">
        <v>19</v>
      </c>
      <c r="I19" s="1" t="s">
        <v>17</v>
      </c>
      <c r="J19">
        <v>1</v>
      </c>
      <c r="K19" s="1" t="s">
        <v>21</v>
      </c>
      <c r="L19" s="1" t="s">
        <v>16</v>
      </c>
      <c r="M19">
        <v>30</v>
      </c>
      <c r="N19" s="1" t="str" cm="1">
        <f t="array" ref="N19">_xlfn.IFS(M19&lt;40, " Adult", M19&lt;60, "Middle Age", M19&gt;=60, "Older Adult")</f>
        <v xml:space="preserve"> Adult</v>
      </c>
      <c r="O19" s="1" t="s">
        <v>17</v>
      </c>
      <c r="P19" s="1" t="b">
        <f>IF(O19="Yes", 1)</f>
        <v>0</v>
      </c>
      <c r="Q19" s="1"/>
    </row>
    <row r="20" spans="1:17" x14ac:dyDescent="0.25">
      <c r="A20">
        <v>26863</v>
      </c>
      <c r="B20" s="1" t="s">
        <v>34</v>
      </c>
      <c r="C20" s="1" t="s">
        <v>32</v>
      </c>
      <c r="D20" s="2">
        <v>20000</v>
      </c>
      <c r="E20" s="2" t="str">
        <f>IF(bike_buyers[[#This Row],[Income]]&lt;40000,"Under 40K", IF(bike_buyers[[#This Row],[Income]]&lt;60000,"40K-59K", IF(bike_buyers[[#This Row],[Income]]&lt;80000,"60K-79K", IF(bike_buyers[[#This Row],[Income]]&lt;100000,"80K-99K","100K+"))))</f>
        <v>Under 40K</v>
      </c>
      <c r="F20">
        <v>0</v>
      </c>
      <c r="G20" s="1" t="s">
        <v>26</v>
      </c>
      <c r="H20" s="1" t="s">
        <v>24</v>
      </c>
      <c r="I20" s="1" t="s">
        <v>17</v>
      </c>
      <c r="J20">
        <v>1</v>
      </c>
      <c r="K20" s="1" t="s">
        <v>21</v>
      </c>
      <c r="L20" s="1" t="s">
        <v>16</v>
      </c>
      <c r="M20">
        <v>28</v>
      </c>
      <c r="N20" s="1" t="str" cm="1">
        <f t="array" ref="N20">_xlfn.IFS(M20&lt;40, " Adult", M20&lt;60, "Middle Age", M20&gt;=60, "Older Adult")</f>
        <v xml:space="preserve"> Adult</v>
      </c>
      <c r="O20" s="1" t="s">
        <v>17</v>
      </c>
      <c r="P20" s="1" t="b">
        <f>IF(O20="Yes", 1)</f>
        <v>0</v>
      </c>
      <c r="Q20" s="1"/>
    </row>
    <row r="21" spans="1:17" x14ac:dyDescent="0.25">
      <c r="A21">
        <v>16259</v>
      </c>
      <c r="B21" s="1" t="s">
        <v>34</v>
      </c>
      <c r="C21" s="1" t="s">
        <v>33</v>
      </c>
      <c r="D21" s="2">
        <v>10000</v>
      </c>
      <c r="E21" s="2" t="str">
        <f>IF(bike_buyers[[#This Row],[Income]]&lt;40000,"Under 40K", IF(bike_buyers[[#This Row],[Income]]&lt;60000,"40K-59K", IF(bike_buyers[[#This Row],[Income]]&lt;80000,"60K-79K", IF(bike_buyers[[#This Row],[Income]]&lt;100000,"80K-99K","100K+"))))</f>
        <v>Under 40K</v>
      </c>
      <c r="F21">
        <v>4</v>
      </c>
      <c r="G21" s="1" t="s">
        <v>28</v>
      </c>
      <c r="H21" s="1" t="s">
        <v>24</v>
      </c>
      <c r="I21" s="1" t="s">
        <v>14</v>
      </c>
      <c r="J21">
        <v>2</v>
      </c>
      <c r="K21" s="1" t="s">
        <v>15</v>
      </c>
      <c r="L21" s="1" t="s">
        <v>16</v>
      </c>
      <c r="M21">
        <v>40</v>
      </c>
      <c r="N21" s="1" t="str" cm="1">
        <f t="array" ref="N21">_xlfn.IFS(M21&lt;40, " Adult", M21&lt;60, "Middle Age", M21&gt;=60, "Older Adult")</f>
        <v>Middle Age</v>
      </c>
      <c r="O21" s="1" t="s">
        <v>14</v>
      </c>
      <c r="P21" s="1">
        <f>IF(O21="Yes", 1)</f>
        <v>1</v>
      </c>
      <c r="Q21" s="1"/>
    </row>
    <row r="22" spans="1:17" x14ac:dyDescent="0.25">
      <c r="A22">
        <v>27803</v>
      </c>
      <c r="B22" s="1" t="s">
        <v>34</v>
      </c>
      <c r="C22" s="1" t="s">
        <v>33</v>
      </c>
      <c r="D22" s="2">
        <v>30000</v>
      </c>
      <c r="E22" s="2" t="str">
        <f>IF(bike_buyers[[#This Row],[Income]]&lt;40000,"Under 40K", IF(bike_buyers[[#This Row],[Income]]&lt;60000,"40K-59K", IF(bike_buyers[[#This Row],[Income]]&lt;80000,"60K-79K", IF(bike_buyers[[#This Row],[Income]]&lt;100000,"80K-99K","100K+"))))</f>
        <v>Under 40K</v>
      </c>
      <c r="F22">
        <v>2</v>
      </c>
      <c r="G22" s="1" t="s">
        <v>18</v>
      </c>
      <c r="H22" s="1" t="s">
        <v>19</v>
      </c>
      <c r="I22" s="1" t="s">
        <v>17</v>
      </c>
      <c r="J22">
        <v>0</v>
      </c>
      <c r="K22" s="1" t="s">
        <v>15</v>
      </c>
      <c r="L22" s="1" t="s">
        <v>16</v>
      </c>
      <c r="M22">
        <v>43</v>
      </c>
      <c r="N22" s="1" t="str" cm="1">
        <f t="array" ref="N22">_xlfn.IFS(M22&lt;40, " Adult", M22&lt;60, "Middle Age", M22&gt;=60, "Older Adult")</f>
        <v>Middle Age</v>
      </c>
      <c r="O22" s="1" t="s">
        <v>17</v>
      </c>
      <c r="P22" s="1" t="b">
        <f>IF(O22="Yes", 1)</f>
        <v>0</v>
      </c>
      <c r="Q22" s="1"/>
    </row>
    <row r="23" spans="1:17" x14ac:dyDescent="0.25">
      <c r="A23">
        <v>17703</v>
      </c>
      <c r="B23" s="1" t="s">
        <v>31</v>
      </c>
      <c r="C23" s="1" t="s">
        <v>33</v>
      </c>
      <c r="D23" s="2">
        <v>10000</v>
      </c>
      <c r="E23" s="2" t="str">
        <f>IF(bike_buyers[[#This Row],[Income]]&lt;40000,"Under 40K", IF(bike_buyers[[#This Row],[Income]]&lt;60000,"40K-59K", IF(bike_buyers[[#This Row],[Income]]&lt;80000,"60K-79K", IF(bike_buyers[[#This Row],[Income]]&lt;100000,"80K-99K","100K+"))))</f>
        <v>Under 40K</v>
      </c>
      <c r="F23">
        <v>1</v>
      </c>
      <c r="G23" s="1" t="s">
        <v>29</v>
      </c>
      <c r="H23" s="1" t="s">
        <v>24</v>
      </c>
      <c r="I23" s="1" t="s">
        <v>14</v>
      </c>
      <c r="J23">
        <v>0</v>
      </c>
      <c r="K23" s="1" t="s">
        <v>15</v>
      </c>
      <c r="L23" s="1" t="s">
        <v>16</v>
      </c>
      <c r="M23">
        <v>40</v>
      </c>
      <c r="N23" s="1" t="str" cm="1">
        <f t="array" ref="N23">_xlfn.IFS(M23&lt;40, " Adult", M23&lt;60, "Middle Age", M23&gt;=60, "Older Adult")</f>
        <v>Middle Age</v>
      </c>
      <c r="O23" s="1" t="s">
        <v>17</v>
      </c>
      <c r="P23" s="1" t="b">
        <f>IF(O23="Yes", 1)</f>
        <v>0</v>
      </c>
      <c r="Q23" s="1"/>
    </row>
    <row r="24" spans="1:17" x14ac:dyDescent="0.25">
      <c r="A24">
        <v>29380</v>
      </c>
      <c r="B24" s="1" t="s">
        <v>31</v>
      </c>
      <c r="C24" s="1" t="s">
        <v>33</v>
      </c>
      <c r="D24" s="2">
        <v>20000</v>
      </c>
      <c r="E24" s="2" t="str">
        <f>IF(bike_buyers[[#This Row],[Income]]&lt;40000,"Under 40K", IF(bike_buyers[[#This Row],[Income]]&lt;60000,"40K-59K", IF(bike_buyers[[#This Row],[Income]]&lt;80000,"60K-79K", IF(bike_buyers[[#This Row],[Income]]&lt;100000,"80K-99K","100K+"))))</f>
        <v>Under 40K</v>
      </c>
      <c r="F24">
        <v>3</v>
      </c>
      <c r="G24" s="1" t="s">
        <v>26</v>
      </c>
      <c r="H24" s="1" t="s">
        <v>24</v>
      </c>
      <c r="I24" s="1" t="s">
        <v>14</v>
      </c>
      <c r="J24">
        <v>0</v>
      </c>
      <c r="K24" s="1" t="s">
        <v>15</v>
      </c>
      <c r="L24" s="1" t="s">
        <v>16</v>
      </c>
      <c r="M24">
        <v>41</v>
      </c>
      <c r="N24" s="1" t="str" cm="1">
        <f t="array" ref="N24">_xlfn.IFS(M24&lt;40, " Adult", M24&lt;60, "Middle Age", M24&gt;=60, "Older Adult")</f>
        <v>Middle Age</v>
      </c>
      <c r="O24" s="1" t="s">
        <v>14</v>
      </c>
      <c r="P24" s="1">
        <f>IF(O24="Yes", 1)</f>
        <v>1</v>
      </c>
      <c r="Q24" s="1"/>
    </row>
    <row r="25" spans="1:17" x14ac:dyDescent="0.25">
      <c r="A25">
        <v>23986</v>
      </c>
      <c r="B25" s="1" t="s">
        <v>31</v>
      </c>
      <c r="C25" s="1" t="s">
        <v>33</v>
      </c>
      <c r="D25" s="2">
        <v>20000</v>
      </c>
      <c r="E25" s="2" t="str">
        <f>IF(bike_buyers[[#This Row],[Income]]&lt;40000,"Under 40K", IF(bike_buyers[[#This Row],[Income]]&lt;60000,"40K-59K", IF(bike_buyers[[#This Row],[Income]]&lt;80000,"60K-79K", IF(bike_buyers[[#This Row],[Income]]&lt;100000,"80K-99K","100K+"))))</f>
        <v>Under 40K</v>
      </c>
      <c r="F25">
        <v>1</v>
      </c>
      <c r="G25" s="1" t="s">
        <v>12</v>
      </c>
      <c r="H25" s="1" t="s">
        <v>19</v>
      </c>
      <c r="I25" s="1" t="s">
        <v>14</v>
      </c>
      <c r="J25">
        <v>0</v>
      </c>
      <c r="K25" s="1" t="s">
        <v>15</v>
      </c>
      <c r="L25" s="1" t="s">
        <v>16</v>
      </c>
      <c r="M25">
        <v>66</v>
      </c>
      <c r="N25" s="1" t="str" cm="1">
        <f t="array" ref="N25">_xlfn.IFS(M25&lt;40, " Adult", M25&lt;60, "Middle Age", M25&gt;=60, "Older Adult")</f>
        <v>Older Adult</v>
      </c>
      <c r="O25" s="1" t="s">
        <v>14</v>
      </c>
      <c r="P25" s="1">
        <f>IF(O25="Yes", 1)</f>
        <v>1</v>
      </c>
      <c r="Q25" s="1"/>
    </row>
    <row r="26" spans="1:17" x14ac:dyDescent="0.25">
      <c r="A26">
        <v>19487</v>
      </c>
      <c r="B26" s="1" t="s">
        <v>31</v>
      </c>
      <c r="C26" s="1" t="s">
        <v>32</v>
      </c>
      <c r="D26" s="2">
        <v>30000</v>
      </c>
      <c r="E26" s="2" t="str">
        <f>IF(bike_buyers[[#This Row],[Income]]&lt;40000,"Under 40K", IF(bike_buyers[[#This Row],[Income]]&lt;60000,"40K-59K", IF(bike_buyers[[#This Row],[Income]]&lt;80000,"60K-79K", IF(bike_buyers[[#This Row],[Income]]&lt;100000,"80K-99K","100K+"))))</f>
        <v>Under 40K</v>
      </c>
      <c r="F26">
        <v>2</v>
      </c>
      <c r="G26" s="1" t="s">
        <v>18</v>
      </c>
      <c r="H26" s="1" t="s">
        <v>19</v>
      </c>
      <c r="I26" s="1" t="s">
        <v>17</v>
      </c>
      <c r="J26">
        <v>2</v>
      </c>
      <c r="K26" s="1" t="s">
        <v>15</v>
      </c>
      <c r="L26" s="1" t="s">
        <v>16</v>
      </c>
      <c r="M26">
        <v>42</v>
      </c>
      <c r="N26" s="1" t="str" cm="1">
        <f t="array" ref="N26">_xlfn.IFS(M26&lt;40, " Adult", M26&lt;60, "Middle Age", M26&gt;=60, "Older Adult")</f>
        <v>Middle Age</v>
      </c>
      <c r="O26" s="1" t="s">
        <v>17</v>
      </c>
      <c r="P26" s="1" t="b">
        <f>IF(O26="Yes", 1)</f>
        <v>0</v>
      </c>
      <c r="Q26" s="1"/>
    </row>
    <row r="27" spans="1:17" x14ac:dyDescent="0.25">
      <c r="A27">
        <v>13826</v>
      </c>
      <c r="B27" s="1" t="s">
        <v>34</v>
      </c>
      <c r="C27" s="1" t="s">
        <v>33</v>
      </c>
      <c r="D27" s="2">
        <v>30000</v>
      </c>
      <c r="E27" s="2" t="str">
        <f>IF(bike_buyers[[#This Row],[Income]]&lt;40000,"Under 40K", IF(bike_buyers[[#This Row],[Income]]&lt;60000,"40K-59K", IF(bike_buyers[[#This Row],[Income]]&lt;80000,"60K-79K", IF(bike_buyers[[#This Row],[Income]]&lt;100000,"80K-99K","100K+"))))</f>
        <v>Under 40K</v>
      </c>
      <c r="F27">
        <v>0</v>
      </c>
      <c r="G27" s="1" t="s">
        <v>18</v>
      </c>
      <c r="H27" s="1" t="s">
        <v>19</v>
      </c>
      <c r="I27" s="1" t="s">
        <v>17</v>
      </c>
      <c r="J27">
        <v>1</v>
      </c>
      <c r="K27" s="1" t="s">
        <v>15</v>
      </c>
      <c r="L27" s="1" t="s">
        <v>16</v>
      </c>
      <c r="M27">
        <v>28</v>
      </c>
      <c r="N27" s="1" t="str" cm="1">
        <f t="array" ref="N27">_xlfn.IFS(M27&lt;40, " Adult", M27&lt;60, "Middle Age", M27&gt;=60, "Older Adult")</f>
        <v xml:space="preserve"> Adult</v>
      </c>
      <c r="O27" s="1" t="s">
        <v>17</v>
      </c>
      <c r="P27" s="1" t="b">
        <f>IF(O27="Yes", 1)</f>
        <v>0</v>
      </c>
      <c r="Q27" s="1"/>
    </row>
    <row r="28" spans="1:17" x14ac:dyDescent="0.25">
      <c r="A28">
        <v>12558</v>
      </c>
      <c r="B28" s="1" t="s">
        <v>31</v>
      </c>
      <c r="C28" s="1" t="s">
        <v>33</v>
      </c>
      <c r="D28" s="2">
        <v>20000</v>
      </c>
      <c r="E28" s="2" t="str">
        <f>IF(bike_buyers[[#This Row],[Income]]&lt;40000,"Under 40K", IF(bike_buyers[[#This Row],[Income]]&lt;60000,"40K-59K", IF(bike_buyers[[#This Row],[Income]]&lt;80000,"60K-79K", IF(bike_buyers[[#This Row],[Income]]&lt;100000,"80K-99K","100K+"))))</f>
        <v>Under 40K</v>
      </c>
      <c r="F28">
        <v>1</v>
      </c>
      <c r="G28" s="1" t="s">
        <v>12</v>
      </c>
      <c r="H28" s="1" t="s">
        <v>19</v>
      </c>
      <c r="I28" s="1" t="s">
        <v>14</v>
      </c>
      <c r="J28">
        <v>0</v>
      </c>
      <c r="K28" s="1" t="s">
        <v>15</v>
      </c>
      <c r="L28" s="1" t="s">
        <v>16</v>
      </c>
      <c r="M28">
        <v>65</v>
      </c>
      <c r="N28" s="1" t="str" cm="1">
        <f t="array" ref="N28">_xlfn.IFS(M28&lt;40, " Adult", M28&lt;60, "Middle Age", M28&gt;=60, "Older Adult")</f>
        <v>Older Adult</v>
      </c>
      <c r="O28" s="1" t="s">
        <v>17</v>
      </c>
      <c r="P28" s="1" t="b">
        <f>IF(O28="Yes", 1)</f>
        <v>0</v>
      </c>
      <c r="Q28" s="1"/>
    </row>
    <row r="29" spans="1:17" x14ac:dyDescent="0.25">
      <c r="A29">
        <v>24185</v>
      </c>
      <c r="B29" s="1" t="s">
        <v>34</v>
      </c>
      <c r="C29" s="1" t="s">
        <v>33</v>
      </c>
      <c r="D29" s="2">
        <v>10000</v>
      </c>
      <c r="E29" s="2" t="str">
        <f>IF(bike_buyers[[#This Row],[Income]]&lt;40000,"Under 40K", IF(bike_buyers[[#This Row],[Income]]&lt;60000,"40K-59K", IF(bike_buyers[[#This Row],[Income]]&lt;80000,"60K-79K", IF(bike_buyers[[#This Row],[Income]]&lt;100000,"80K-99K","100K+"))))</f>
        <v>Under 40K</v>
      </c>
      <c r="F29">
        <v>1</v>
      </c>
      <c r="G29" s="1" t="s">
        <v>26</v>
      </c>
      <c r="H29" s="1" t="s">
        <v>24</v>
      </c>
      <c r="I29" s="1" t="s">
        <v>17</v>
      </c>
      <c r="J29">
        <v>1</v>
      </c>
      <c r="K29" s="1" t="s">
        <v>25</v>
      </c>
      <c r="L29" s="1" t="s">
        <v>16</v>
      </c>
      <c r="M29">
        <v>45</v>
      </c>
      <c r="N29" s="1" t="str" cm="1">
        <f t="array" ref="N29">_xlfn.IFS(M29&lt;40, " Adult", M29&lt;60, "Middle Age", M29&gt;=60, "Older Adult")</f>
        <v>Middle Age</v>
      </c>
      <c r="O29" s="1" t="s">
        <v>17</v>
      </c>
      <c r="P29" s="1" t="b">
        <f>IF(O29="Yes", 1)</f>
        <v>0</v>
      </c>
      <c r="Q29" s="1"/>
    </row>
    <row r="30" spans="1:17" x14ac:dyDescent="0.25">
      <c r="A30">
        <v>19291</v>
      </c>
      <c r="B30" s="1" t="s">
        <v>34</v>
      </c>
      <c r="C30" s="1" t="s">
        <v>33</v>
      </c>
      <c r="D30" s="2">
        <v>10000</v>
      </c>
      <c r="E30" s="2" t="str">
        <f>IF(bike_buyers[[#This Row],[Income]]&lt;40000,"Under 40K", IF(bike_buyers[[#This Row],[Income]]&lt;60000,"40K-59K", IF(bike_buyers[[#This Row],[Income]]&lt;80000,"60K-79K", IF(bike_buyers[[#This Row],[Income]]&lt;100000,"80K-99K","100K+"))))</f>
        <v>Under 40K</v>
      </c>
      <c r="F30">
        <v>2</v>
      </c>
      <c r="G30" s="1" t="s">
        <v>26</v>
      </c>
      <c r="H30" s="1" t="s">
        <v>24</v>
      </c>
      <c r="I30" s="1" t="s">
        <v>14</v>
      </c>
      <c r="J30">
        <v>0</v>
      </c>
      <c r="K30" s="1" t="s">
        <v>15</v>
      </c>
      <c r="L30" s="1" t="s">
        <v>16</v>
      </c>
      <c r="M30">
        <v>35</v>
      </c>
      <c r="N30" s="1" t="str" cm="1">
        <f t="array" ref="N30">_xlfn.IFS(M30&lt;40, " Adult", M30&lt;60, "Middle Age", M30&gt;=60, "Older Adult")</f>
        <v xml:space="preserve"> Adult</v>
      </c>
      <c r="O30" s="1" t="s">
        <v>17</v>
      </c>
      <c r="P30" s="1" t="b">
        <f>IF(O30="Yes", 1)</f>
        <v>0</v>
      </c>
      <c r="Q30" s="1"/>
    </row>
    <row r="31" spans="1:17" x14ac:dyDescent="0.25">
      <c r="A31">
        <v>14927</v>
      </c>
      <c r="B31" s="1" t="s">
        <v>31</v>
      </c>
      <c r="C31" s="1" t="s">
        <v>33</v>
      </c>
      <c r="D31" s="2">
        <v>30000</v>
      </c>
      <c r="E31" s="2" t="str">
        <f>IF(bike_buyers[[#This Row],[Income]]&lt;40000,"Under 40K", IF(bike_buyers[[#This Row],[Income]]&lt;60000,"40K-59K", IF(bike_buyers[[#This Row],[Income]]&lt;80000,"60K-79K", IF(bike_buyers[[#This Row],[Income]]&lt;100000,"80K-99K","100K+"))))</f>
        <v>Under 40K</v>
      </c>
      <c r="F31">
        <v>1</v>
      </c>
      <c r="G31" s="1" t="s">
        <v>12</v>
      </c>
      <c r="H31" s="1" t="s">
        <v>19</v>
      </c>
      <c r="I31" s="1" t="s">
        <v>14</v>
      </c>
      <c r="J31">
        <v>0</v>
      </c>
      <c r="K31" s="1" t="s">
        <v>15</v>
      </c>
      <c r="L31" s="1" t="s">
        <v>16</v>
      </c>
      <c r="M31">
        <v>37</v>
      </c>
      <c r="N31" s="1" t="str" cm="1">
        <f t="array" ref="N31">_xlfn.IFS(M31&lt;40, " Adult", M31&lt;60, "Middle Age", M31&gt;=60, "Older Adult")</f>
        <v xml:space="preserve"> Adult</v>
      </c>
      <c r="O31" s="1" t="s">
        <v>14</v>
      </c>
      <c r="P31" s="1">
        <f>IF(O31="Yes", 1)</f>
        <v>1</v>
      </c>
      <c r="Q31" s="1"/>
    </row>
    <row r="32" spans="1:17" x14ac:dyDescent="0.25">
      <c r="A32">
        <v>29337</v>
      </c>
      <c r="B32" s="1" t="s">
        <v>34</v>
      </c>
      <c r="C32" s="1" t="s">
        <v>32</v>
      </c>
      <c r="D32" s="2">
        <v>30000</v>
      </c>
      <c r="E32" s="2" t="str">
        <f>IF(bike_buyers[[#This Row],[Income]]&lt;40000,"Under 40K", IF(bike_buyers[[#This Row],[Income]]&lt;60000,"40K-59K", IF(bike_buyers[[#This Row],[Income]]&lt;80000,"60K-79K", IF(bike_buyers[[#This Row],[Income]]&lt;100000,"80K-99K","100K+"))))</f>
        <v>Under 40K</v>
      </c>
      <c r="F32">
        <v>2</v>
      </c>
      <c r="G32" s="1" t="s">
        <v>18</v>
      </c>
      <c r="H32" s="1" t="s">
        <v>19</v>
      </c>
      <c r="I32" s="1" t="s">
        <v>14</v>
      </c>
      <c r="J32">
        <v>2</v>
      </c>
      <c r="K32" s="1" t="s">
        <v>22</v>
      </c>
      <c r="L32" s="1" t="s">
        <v>23</v>
      </c>
      <c r="M32">
        <v>68</v>
      </c>
      <c r="N32" s="1" t="str" cm="1">
        <f t="array" ref="N32">_xlfn.IFS(M32&lt;40, " Adult", M32&lt;60, "Middle Age", M32&gt;=60, "Older Adult")</f>
        <v>Older Adult</v>
      </c>
      <c r="O32" s="1" t="s">
        <v>17</v>
      </c>
      <c r="P32" s="1" t="b">
        <f>IF(O32="Yes", 1)</f>
        <v>0</v>
      </c>
      <c r="Q32" s="1"/>
    </row>
    <row r="33" spans="1:17" x14ac:dyDescent="0.25">
      <c r="A33">
        <v>25303</v>
      </c>
      <c r="B33" s="1" t="s">
        <v>34</v>
      </c>
      <c r="C33" s="1" t="s">
        <v>32</v>
      </c>
      <c r="D33" s="2">
        <v>30000</v>
      </c>
      <c r="E33" s="2" t="str">
        <f>IF(bike_buyers[[#This Row],[Income]]&lt;40000,"Under 40K", IF(bike_buyers[[#This Row],[Income]]&lt;60000,"40K-59K", IF(bike_buyers[[#This Row],[Income]]&lt;80000,"60K-79K", IF(bike_buyers[[#This Row],[Income]]&lt;100000,"80K-99K","100K+"))))</f>
        <v>Under 40K</v>
      </c>
      <c r="F33">
        <v>0</v>
      </c>
      <c r="G33" s="1" t="s">
        <v>26</v>
      </c>
      <c r="H33" s="1" t="s">
        <v>24</v>
      </c>
      <c r="I33" s="1" t="s">
        <v>14</v>
      </c>
      <c r="J33">
        <v>1</v>
      </c>
      <c r="K33" s="1" t="s">
        <v>21</v>
      </c>
      <c r="L33" s="1" t="s">
        <v>16</v>
      </c>
      <c r="M33">
        <v>33</v>
      </c>
      <c r="N33" s="1" t="str" cm="1">
        <f t="array" ref="N33">_xlfn.IFS(M33&lt;40, " Adult", M33&lt;60, "Middle Age", M33&gt;=60, "Older Adult")</f>
        <v xml:space="preserve"> Adult</v>
      </c>
      <c r="O33" s="1" t="s">
        <v>14</v>
      </c>
      <c r="P33" s="1">
        <f>IF(O33="Yes", 1)</f>
        <v>1</v>
      </c>
      <c r="Q33" s="1"/>
    </row>
    <row r="34" spans="1:17" x14ac:dyDescent="0.25">
      <c r="A34">
        <v>14813</v>
      </c>
      <c r="B34" s="1" t="s">
        <v>34</v>
      </c>
      <c r="C34" s="1" t="s">
        <v>33</v>
      </c>
      <c r="D34" s="2">
        <v>20000</v>
      </c>
      <c r="E34" s="2" t="str">
        <f>IF(bike_buyers[[#This Row],[Income]]&lt;40000,"Under 40K", IF(bike_buyers[[#This Row],[Income]]&lt;60000,"40K-59K", IF(bike_buyers[[#This Row],[Income]]&lt;80000,"60K-79K", IF(bike_buyers[[#This Row],[Income]]&lt;100000,"80K-99K","100K+"))))</f>
        <v>Under 40K</v>
      </c>
      <c r="F34">
        <v>4</v>
      </c>
      <c r="G34" s="1" t="s">
        <v>26</v>
      </c>
      <c r="H34" s="1" t="s">
        <v>24</v>
      </c>
      <c r="I34" s="1" t="s">
        <v>14</v>
      </c>
      <c r="J34">
        <v>1</v>
      </c>
      <c r="K34" s="1" t="s">
        <v>15</v>
      </c>
      <c r="L34" s="1" t="s">
        <v>16</v>
      </c>
      <c r="M34">
        <v>43</v>
      </c>
      <c r="N34" s="1" t="str" cm="1">
        <f t="array" ref="N34">_xlfn.IFS(M34&lt;40, " Adult", M34&lt;60, "Middle Age", M34&gt;=60, "Older Adult")</f>
        <v>Middle Age</v>
      </c>
      <c r="O34" s="1" t="s">
        <v>14</v>
      </c>
      <c r="P34" s="1">
        <f>IF(O34="Yes", 1)</f>
        <v>1</v>
      </c>
      <c r="Q34" s="1"/>
    </row>
    <row r="35" spans="1:17" x14ac:dyDescent="0.25">
      <c r="A35">
        <v>16438</v>
      </c>
      <c r="B35" s="1" t="s">
        <v>31</v>
      </c>
      <c r="C35" s="1" t="s">
        <v>33</v>
      </c>
      <c r="D35" s="2">
        <v>10000</v>
      </c>
      <c r="E35" s="2" t="str">
        <f>IF(bike_buyers[[#This Row],[Income]]&lt;40000,"Under 40K", IF(bike_buyers[[#This Row],[Income]]&lt;60000,"40K-59K", IF(bike_buyers[[#This Row],[Income]]&lt;80000,"60K-79K", IF(bike_buyers[[#This Row],[Income]]&lt;100000,"80K-99K","100K+"))))</f>
        <v>Under 40K</v>
      </c>
      <c r="F35">
        <v>0</v>
      </c>
      <c r="G35" s="1" t="s">
        <v>28</v>
      </c>
      <c r="H35" s="1" t="s">
        <v>24</v>
      </c>
      <c r="I35" s="1" t="s">
        <v>17</v>
      </c>
      <c r="J35">
        <v>2</v>
      </c>
      <c r="K35" s="1" t="s">
        <v>15</v>
      </c>
      <c r="L35" s="1" t="s">
        <v>16</v>
      </c>
      <c r="M35">
        <v>30</v>
      </c>
      <c r="N35" s="1" t="str" cm="1">
        <f t="array" ref="N35">_xlfn.IFS(M35&lt;40, " Adult", M35&lt;60, "Middle Age", M35&gt;=60, "Older Adult")</f>
        <v xml:space="preserve"> Adult</v>
      </c>
      <c r="O35" s="1" t="s">
        <v>17</v>
      </c>
      <c r="P35" s="1" t="b">
        <f>IF(O35="Yes", 1)</f>
        <v>0</v>
      </c>
      <c r="Q35" s="1"/>
    </row>
    <row r="36" spans="1:17" x14ac:dyDescent="0.25">
      <c r="A36">
        <v>16200</v>
      </c>
      <c r="B36" s="1" t="s">
        <v>34</v>
      </c>
      <c r="C36" s="1" t="s">
        <v>33</v>
      </c>
      <c r="D36" s="2">
        <v>10000</v>
      </c>
      <c r="E36" s="2" t="str">
        <f>IF(bike_buyers[[#This Row],[Income]]&lt;40000,"Under 40K", IF(bike_buyers[[#This Row],[Income]]&lt;60000,"40K-59K", IF(bike_buyers[[#This Row],[Income]]&lt;80000,"60K-79K", IF(bike_buyers[[#This Row],[Income]]&lt;100000,"80K-99K","100K+"))))</f>
        <v>Under 40K</v>
      </c>
      <c r="F36">
        <v>0</v>
      </c>
      <c r="G36" s="1" t="s">
        <v>28</v>
      </c>
      <c r="H36" s="1" t="s">
        <v>24</v>
      </c>
      <c r="I36" s="1" t="s">
        <v>17</v>
      </c>
      <c r="J36">
        <v>2</v>
      </c>
      <c r="K36" s="1" t="s">
        <v>15</v>
      </c>
      <c r="L36" s="1" t="s">
        <v>16</v>
      </c>
      <c r="M36">
        <v>35</v>
      </c>
      <c r="N36" s="1" t="str" cm="1">
        <f t="array" ref="N36">_xlfn.IFS(M36&lt;40, " Adult", M36&lt;60, "Middle Age", M36&gt;=60, "Older Adult")</f>
        <v xml:space="preserve"> Adult</v>
      </c>
      <c r="O36" s="1" t="s">
        <v>17</v>
      </c>
      <c r="P36" s="1" t="b">
        <f>IF(O36="Yes", 1)</f>
        <v>0</v>
      </c>
      <c r="Q36" s="1"/>
    </row>
    <row r="37" spans="1:17" x14ac:dyDescent="0.25">
      <c r="A37">
        <v>26956</v>
      </c>
      <c r="B37" s="1" t="s">
        <v>34</v>
      </c>
      <c r="C37" s="1" t="s">
        <v>33</v>
      </c>
      <c r="D37" s="2">
        <v>20000</v>
      </c>
      <c r="E37" s="2" t="str">
        <f>IF(bike_buyers[[#This Row],[Income]]&lt;40000,"Under 40K", IF(bike_buyers[[#This Row],[Income]]&lt;60000,"40K-59K", IF(bike_buyers[[#This Row],[Income]]&lt;80000,"60K-79K", IF(bike_buyers[[#This Row],[Income]]&lt;100000,"80K-99K","100K+"))))</f>
        <v>Under 40K</v>
      </c>
      <c r="F37">
        <v>0</v>
      </c>
      <c r="G37" s="1" t="s">
        <v>18</v>
      </c>
      <c r="H37" s="1" t="s">
        <v>24</v>
      </c>
      <c r="I37" s="1" t="s">
        <v>17</v>
      </c>
      <c r="J37">
        <v>1</v>
      </c>
      <c r="K37" s="1" t="s">
        <v>21</v>
      </c>
      <c r="L37" s="1" t="s">
        <v>16</v>
      </c>
      <c r="M37">
        <v>36</v>
      </c>
      <c r="N37" s="1" t="str" cm="1">
        <f t="array" ref="N37">_xlfn.IFS(M37&lt;40, " Adult", M37&lt;60, "Middle Age", M37&gt;=60, "Older Adult")</f>
        <v xml:space="preserve"> Adult</v>
      </c>
      <c r="O37" s="1" t="s">
        <v>14</v>
      </c>
      <c r="P37" s="1">
        <f>IF(O37="Yes", 1)</f>
        <v>1</v>
      </c>
      <c r="Q37" s="1"/>
    </row>
    <row r="38" spans="1:17" x14ac:dyDescent="0.25">
      <c r="A38">
        <v>14517</v>
      </c>
      <c r="B38" s="1" t="s">
        <v>31</v>
      </c>
      <c r="C38" s="1" t="s">
        <v>33</v>
      </c>
      <c r="D38" s="2">
        <v>20000</v>
      </c>
      <c r="E38" s="2" t="str">
        <f>IF(bike_buyers[[#This Row],[Income]]&lt;40000,"Under 40K", IF(bike_buyers[[#This Row],[Income]]&lt;60000,"40K-59K", IF(bike_buyers[[#This Row],[Income]]&lt;80000,"60K-79K", IF(bike_buyers[[#This Row],[Income]]&lt;100000,"80K-99K","100K+"))))</f>
        <v>Under 40K</v>
      </c>
      <c r="F38">
        <v>3</v>
      </c>
      <c r="G38" s="1" t="s">
        <v>26</v>
      </c>
      <c r="H38" s="1" t="s">
        <v>13</v>
      </c>
      <c r="I38" s="1" t="s">
        <v>17</v>
      </c>
      <c r="J38">
        <v>2</v>
      </c>
      <c r="K38" s="1" t="s">
        <v>25</v>
      </c>
      <c r="L38" s="1" t="s">
        <v>23</v>
      </c>
      <c r="M38">
        <v>62</v>
      </c>
      <c r="N38" s="1" t="str" cm="1">
        <f t="array" ref="N38">_xlfn.IFS(M38&lt;40, " Adult", M38&lt;60, "Middle Age", M38&gt;=60, "Older Adult")</f>
        <v>Older Adult</v>
      </c>
      <c r="O38" s="1" t="s">
        <v>17</v>
      </c>
      <c r="P38" s="1" t="b">
        <f>IF(O38="Yes", 1)</f>
        <v>0</v>
      </c>
      <c r="Q38" s="1"/>
    </row>
    <row r="39" spans="1:17" x14ac:dyDescent="0.25">
      <c r="A39">
        <v>16188</v>
      </c>
      <c r="B39" s="1" t="s">
        <v>34</v>
      </c>
      <c r="C39" s="1" t="s">
        <v>33</v>
      </c>
      <c r="D39" s="2">
        <v>20000</v>
      </c>
      <c r="E39" s="2" t="str">
        <f>IF(bike_buyers[[#This Row],[Income]]&lt;40000,"Under 40K", IF(bike_buyers[[#This Row],[Income]]&lt;60000,"40K-59K", IF(bike_buyers[[#This Row],[Income]]&lt;80000,"60K-79K", IF(bike_buyers[[#This Row],[Income]]&lt;100000,"80K-99K","100K+"))))</f>
        <v>Under 40K</v>
      </c>
      <c r="F39">
        <v>0</v>
      </c>
      <c r="G39" s="1" t="s">
        <v>28</v>
      </c>
      <c r="H39" s="1" t="s">
        <v>24</v>
      </c>
      <c r="I39" s="1" t="s">
        <v>17</v>
      </c>
      <c r="J39">
        <v>2</v>
      </c>
      <c r="K39" s="1" t="s">
        <v>25</v>
      </c>
      <c r="L39" s="1" t="s">
        <v>16</v>
      </c>
      <c r="M39">
        <v>26</v>
      </c>
      <c r="N39" s="1" t="str" cm="1">
        <f t="array" ref="N39">_xlfn.IFS(M39&lt;40, " Adult", M39&lt;60, "Middle Age", M39&gt;=60, "Older Adult")</f>
        <v xml:space="preserve"> Adult</v>
      </c>
      <c r="O39" s="1" t="s">
        <v>17</v>
      </c>
      <c r="P39" s="1" t="b">
        <f>IF(O39="Yes", 1)</f>
        <v>0</v>
      </c>
      <c r="Q39" s="1"/>
    </row>
    <row r="40" spans="1:17" x14ac:dyDescent="0.25">
      <c r="A40">
        <v>20828</v>
      </c>
      <c r="B40" s="1" t="s">
        <v>31</v>
      </c>
      <c r="C40" s="1" t="s">
        <v>33</v>
      </c>
      <c r="D40" s="2">
        <v>30000</v>
      </c>
      <c r="E40" s="2" t="str">
        <f>IF(bike_buyers[[#This Row],[Income]]&lt;40000,"Under 40K", IF(bike_buyers[[#This Row],[Income]]&lt;60000,"40K-59K", IF(bike_buyers[[#This Row],[Income]]&lt;80000,"60K-79K", IF(bike_buyers[[#This Row],[Income]]&lt;100000,"80K-99K","100K+"))))</f>
        <v>Under 40K</v>
      </c>
      <c r="F40">
        <v>4</v>
      </c>
      <c r="G40" s="1" t="s">
        <v>29</v>
      </c>
      <c r="H40" s="1" t="s">
        <v>19</v>
      </c>
      <c r="I40" s="1" t="s">
        <v>14</v>
      </c>
      <c r="J40">
        <v>0</v>
      </c>
      <c r="K40" s="1" t="s">
        <v>15</v>
      </c>
      <c r="L40" s="1" t="s">
        <v>16</v>
      </c>
      <c r="M40">
        <v>45</v>
      </c>
      <c r="N40" s="1" t="str" cm="1">
        <f t="array" ref="N40">_xlfn.IFS(M40&lt;40, " Adult", M40&lt;60, "Middle Age", M40&gt;=60, "Older Adult")</f>
        <v>Middle Age</v>
      </c>
      <c r="O40" s="1" t="s">
        <v>14</v>
      </c>
      <c r="P40" s="1">
        <f>IF(O40="Yes", 1)</f>
        <v>1</v>
      </c>
      <c r="Q40" s="1"/>
    </row>
    <row r="41" spans="1:17" x14ac:dyDescent="0.25">
      <c r="A41">
        <v>19461</v>
      </c>
      <c r="B41" s="1" t="s">
        <v>34</v>
      </c>
      <c r="C41" s="1" t="s">
        <v>33</v>
      </c>
      <c r="D41" s="2">
        <v>10000</v>
      </c>
      <c r="E41" s="2" t="str">
        <f>IF(bike_buyers[[#This Row],[Income]]&lt;40000,"Under 40K", IF(bike_buyers[[#This Row],[Income]]&lt;60000,"40K-59K", IF(bike_buyers[[#This Row],[Income]]&lt;80000,"60K-79K", IF(bike_buyers[[#This Row],[Income]]&lt;100000,"80K-99K","100K+"))))</f>
        <v>Under 40K</v>
      </c>
      <c r="F41">
        <v>4</v>
      </c>
      <c r="G41" s="1" t="s">
        <v>28</v>
      </c>
      <c r="H41" s="1" t="s">
        <v>24</v>
      </c>
      <c r="I41" s="1" t="s">
        <v>14</v>
      </c>
      <c r="J41">
        <v>2</v>
      </c>
      <c r="K41" s="1" t="s">
        <v>15</v>
      </c>
      <c r="L41" s="1" t="s">
        <v>16</v>
      </c>
      <c r="M41">
        <v>40</v>
      </c>
      <c r="N41" s="1" t="str" cm="1">
        <f t="array" ref="N41">_xlfn.IFS(M41&lt;40, " Adult", M41&lt;60, "Middle Age", M41&gt;=60, "Older Adult")</f>
        <v>Middle Age</v>
      </c>
      <c r="O41" s="1" t="s">
        <v>17</v>
      </c>
      <c r="P41" s="1" t="b">
        <f>IF(O41="Yes", 1)</f>
        <v>0</v>
      </c>
      <c r="Q41" s="1"/>
    </row>
    <row r="42" spans="1:17" x14ac:dyDescent="0.25">
      <c r="A42">
        <v>26941</v>
      </c>
      <c r="B42" s="1" t="s">
        <v>31</v>
      </c>
      <c r="C42" s="1" t="s">
        <v>32</v>
      </c>
      <c r="D42" s="2">
        <v>30000</v>
      </c>
      <c r="E42" s="2" t="str">
        <f>IF(bike_buyers[[#This Row],[Income]]&lt;40000,"Under 40K", IF(bike_buyers[[#This Row],[Income]]&lt;60000,"40K-59K", IF(bike_buyers[[#This Row],[Income]]&lt;80000,"60K-79K", IF(bike_buyers[[#This Row],[Income]]&lt;100000,"80K-99K","100K+"))))</f>
        <v>Under 40K</v>
      </c>
      <c r="F42">
        <v>0</v>
      </c>
      <c r="G42" s="1" t="s">
        <v>12</v>
      </c>
      <c r="H42" s="1" t="s">
        <v>19</v>
      </c>
      <c r="I42" s="1" t="s">
        <v>14</v>
      </c>
      <c r="J42">
        <v>0</v>
      </c>
      <c r="K42" s="1" t="s">
        <v>15</v>
      </c>
      <c r="L42" s="1" t="s">
        <v>16</v>
      </c>
      <c r="M42">
        <v>47</v>
      </c>
      <c r="N42" s="1" t="str" cm="1">
        <f t="array" ref="N42">_xlfn.IFS(M42&lt;40, " Adult", M42&lt;60, "Middle Age", M42&gt;=60, "Older Adult")</f>
        <v>Middle Age</v>
      </c>
      <c r="O42" s="1" t="s">
        <v>14</v>
      </c>
      <c r="P42" s="1">
        <f>IF(O42="Yes", 1)</f>
        <v>1</v>
      </c>
      <c r="Q42" s="1"/>
    </row>
    <row r="43" spans="1:17" x14ac:dyDescent="0.25">
      <c r="A43">
        <v>28412</v>
      </c>
      <c r="B43" s="1" t="s">
        <v>34</v>
      </c>
      <c r="C43" s="1" t="s">
        <v>32</v>
      </c>
      <c r="D43" s="2">
        <v>20000</v>
      </c>
      <c r="E43" s="2" t="str">
        <f>IF(bike_buyers[[#This Row],[Income]]&lt;40000,"Under 40K", IF(bike_buyers[[#This Row],[Income]]&lt;60000,"40K-59K", IF(bike_buyers[[#This Row],[Income]]&lt;80000,"60K-79K", IF(bike_buyers[[#This Row],[Income]]&lt;100000,"80K-99K","100K+"))))</f>
        <v>Under 40K</v>
      </c>
      <c r="F43">
        <v>0</v>
      </c>
      <c r="G43" s="1" t="s">
        <v>26</v>
      </c>
      <c r="H43" s="1" t="s">
        <v>24</v>
      </c>
      <c r="I43" s="1" t="s">
        <v>17</v>
      </c>
      <c r="J43">
        <v>1</v>
      </c>
      <c r="K43" s="1" t="s">
        <v>21</v>
      </c>
      <c r="L43" s="1" t="s">
        <v>16</v>
      </c>
      <c r="M43">
        <v>29</v>
      </c>
      <c r="N43" s="1" t="str" cm="1">
        <f t="array" ref="N43">_xlfn.IFS(M43&lt;40, " Adult", M43&lt;60, "Middle Age", M43&gt;=60, "Older Adult")</f>
        <v xml:space="preserve"> Adult</v>
      </c>
      <c r="O43" s="1" t="s">
        <v>17</v>
      </c>
      <c r="P43" s="1" t="b">
        <f>IF(O43="Yes", 1)</f>
        <v>0</v>
      </c>
      <c r="Q43" s="1"/>
    </row>
    <row r="44" spans="1:17" x14ac:dyDescent="0.25">
      <c r="A44">
        <v>16514</v>
      </c>
      <c r="B44" s="1" t="s">
        <v>34</v>
      </c>
      <c r="C44" s="1" t="s">
        <v>32</v>
      </c>
      <c r="D44" s="2">
        <v>10000</v>
      </c>
      <c r="E44" s="2" t="str">
        <f>IF(bike_buyers[[#This Row],[Income]]&lt;40000,"Under 40K", IF(bike_buyers[[#This Row],[Income]]&lt;60000,"40K-59K", IF(bike_buyers[[#This Row],[Income]]&lt;80000,"60K-79K", IF(bike_buyers[[#This Row],[Income]]&lt;100000,"80K-99K","100K+"))))</f>
        <v>Under 40K</v>
      </c>
      <c r="F44">
        <v>0</v>
      </c>
      <c r="G44" s="1" t="s">
        <v>18</v>
      </c>
      <c r="H44" s="1" t="s">
        <v>24</v>
      </c>
      <c r="I44" s="1" t="s">
        <v>14</v>
      </c>
      <c r="J44">
        <v>1</v>
      </c>
      <c r="K44" s="1" t="s">
        <v>25</v>
      </c>
      <c r="L44" s="1" t="s">
        <v>23</v>
      </c>
      <c r="M44">
        <v>26</v>
      </c>
      <c r="N44" s="1" t="str" cm="1">
        <f t="array" ref="N44">_xlfn.IFS(M44&lt;40, " Adult", M44&lt;60, "Middle Age", M44&gt;=60, "Older Adult")</f>
        <v xml:space="preserve"> Adult</v>
      </c>
      <c r="O44" s="1" t="s">
        <v>14</v>
      </c>
      <c r="P44" s="1">
        <f>IF(O44="Yes", 1)</f>
        <v>1</v>
      </c>
      <c r="Q44" s="1"/>
    </row>
    <row r="45" spans="1:17" x14ac:dyDescent="0.25">
      <c r="A45">
        <v>24119</v>
      </c>
      <c r="B45" s="1" t="s">
        <v>34</v>
      </c>
      <c r="C45" s="1" t="s">
        <v>32</v>
      </c>
      <c r="D45" s="2">
        <v>30000</v>
      </c>
      <c r="E45" s="2" t="str">
        <f>IF(bike_buyers[[#This Row],[Income]]&lt;40000,"Under 40K", IF(bike_buyers[[#This Row],[Income]]&lt;60000,"40K-59K", IF(bike_buyers[[#This Row],[Income]]&lt;80000,"60K-79K", IF(bike_buyers[[#This Row],[Income]]&lt;100000,"80K-99K","100K+"))))</f>
        <v>Under 40K</v>
      </c>
      <c r="F45">
        <v>0</v>
      </c>
      <c r="G45" s="1" t="s">
        <v>18</v>
      </c>
      <c r="H45" s="1" t="s">
        <v>19</v>
      </c>
      <c r="I45" s="1" t="s">
        <v>17</v>
      </c>
      <c r="J45">
        <v>1</v>
      </c>
      <c r="K45" s="1" t="s">
        <v>21</v>
      </c>
      <c r="L45" s="1" t="s">
        <v>16</v>
      </c>
      <c r="M45">
        <v>29</v>
      </c>
      <c r="N45" s="1" t="str" cm="1">
        <f t="array" ref="N45">_xlfn.IFS(M45&lt;40, " Adult", M45&lt;60, "Middle Age", M45&gt;=60, "Older Adult")</f>
        <v xml:space="preserve"> Adult</v>
      </c>
      <c r="O45" s="1" t="s">
        <v>17</v>
      </c>
      <c r="P45" s="1" t="b">
        <f>IF(O45="Yes", 1)</f>
        <v>0</v>
      </c>
      <c r="Q45" s="1"/>
    </row>
    <row r="46" spans="1:17" x14ac:dyDescent="0.25">
      <c r="A46">
        <v>25458</v>
      </c>
      <c r="B46" s="1" t="s">
        <v>31</v>
      </c>
      <c r="C46" s="1" t="s">
        <v>32</v>
      </c>
      <c r="D46" s="2">
        <v>20000</v>
      </c>
      <c r="E46" s="2" t="str">
        <f>IF(bike_buyers[[#This Row],[Income]]&lt;40000,"Under 40K", IF(bike_buyers[[#This Row],[Income]]&lt;60000,"40K-59K", IF(bike_buyers[[#This Row],[Income]]&lt;80000,"60K-79K", IF(bike_buyers[[#This Row],[Income]]&lt;100000,"80K-99K","100K+"))))</f>
        <v>Under 40K</v>
      </c>
      <c r="F46">
        <v>1</v>
      </c>
      <c r="G46" s="1" t="s">
        <v>26</v>
      </c>
      <c r="H46" s="1" t="s">
        <v>24</v>
      </c>
      <c r="I46" s="1" t="s">
        <v>17</v>
      </c>
      <c r="J46">
        <v>1</v>
      </c>
      <c r="K46" s="1" t="s">
        <v>25</v>
      </c>
      <c r="L46" s="1" t="s">
        <v>16</v>
      </c>
      <c r="M46">
        <v>40</v>
      </c>
      <c r="N46" s="1" t="str" cm="1">
        <f t="array" ref="N46">_xlfn.IFS(M46&lt;40, " Adult", M46&lt;60, "Middle Age", M46&gt;=60, "Older Adult")</f>
        <v>Middle Age</v>
      </c>
      <c r="O46" s="1" t="s">
        <v>14</v>
      </c>
      <c r="P46" s="1">
        <f>IF(O46="Yes", 1)</f>
        <v>1</v>
      </c>
      <c r="Q46" s="1"/>
    </row>
    <row r="47" spans="1:17" x14ac:dyDescent="0.25">
      <c r="A47">
        <v>26886</v>
      </c>
      <c r="B47" s="1" t="s">
        <v>34</v>
      </c>
      <c r="C47" s="1" t="s">
        <v>33</v>
      </c>
      <c r="D47" s="2">
        <v>30000</v>
      </c>
      <c r="E47" s="2" t="str">
        <f>IF(bike_buyers[[#This Row],[Income]]&lt;40000,"Under 40K", IF(bike_buyers[[#This Row],[Income]]&lt;60000,"40K-59K", IF(bike_buyers[[#This Row],[Income]]&lt;80000,"60K-79K", IF(bike_buyers[[#This Row],[Income]]&lt;100000,"80K-99K","100K+"))))</f>
        <v>Under 40K</v>
      </c>
      <c r="F47">
        <v>0</v>
      </c>
      <c r="G47" s="1" t="s">
        <v>18</v>
      </c>
      <c r="H47" s="1" t="s">
        <v>19</v>
      </c>
      <c r="I47" s="1" t="s">
        <v>17</v>
      </c>
      <c r="J47">
        <v>1</v>
      </c>
      <c r="K47" s="1" t="s">
        <v>15</v>
      </c>
      <c r="L47" s="1" t="s">
        <v>16</v>
      </c>
      <c r="M47">
        <v>29</v>
      </c>
      <c r="N47" s="1" t="str" cm="1">
        <f t="array" ref="N47">_xlfn.IFS(M47&lt;40, " Adult", M47&lt;60, "Middle Age", M47&gt;=60, "Older Adult")</f>
        <v xml:space="preserve"> Adult</v>
      </c>
      <c r="O47" s="1" t="s">
        <v>14</v>
      </c>
      <c r="P47" s="1">
        <f>IF(O47="Yes", 1)</f>
        <v>1</v>
      </c>
      <c r="Q47" s="1"/>
    </row>
    <row r="48" spans="1:17" x14ac:dyDescent="0.25">
      <c r="A48">
        <v>28436</v>
      </c>
      <c r="B48" s="1" t="s">
        <v>34</v>
      </c>
      <c r="C48" s="1" t="s">
        <v>32</v>
      </c>
      <c r="D48" s="2">
        <v>30000</v>
      </c>
      <c r="E48" s="2" t="str">
        <f>IF(bike_buyers[[#This Row],[Income]]&lt;40000,"Under 40K", IF(bike_buyers[[#This Row],[Income]]&lt;60000,"40K-59K", IF(bike_buyers[[#This Row],[Income]]&lt;80000,"60K-79K", IF(bike_buyers[[#This Row],[Income]]&lt;100000,"80K-99K","100K+"))))</f>
        <v>Under 40K</v>
      </c>
      <c r="F48">
        <v>0</v>
      </c>
      <c r="G48" s="1" t="s">
        <v>18</v>
      </c>
      <c r="H48" s="1" t="s">
        <v>19</v>
      </c>
      <c r="I48" s="1" t="s">
        <v>17</v>
      </c>
      <c r="J48">
        <v>1</v>
      </c>
      <c r="K48" s="1" t="s">
        <v>15</v>
      </c>
      <c r="L48" s="1" t="s">
        <v>16</v>
      </c>
      <c r="M48">
        <v>30</v>
      </c>
      <c r="N48" s="1" t="str" cm="1">
        <f t="array" ref="N48">_xlfn.IFS(M48&lt;40, " Adult", M48&lt;60, "Middle Age", M48&gt;=60, "Older Adult")</f>
        <v xml:space="preserve"> Adult</v>
      </c>
      <c r="O48" s="1" t="s">
        <v>14</v>
      </c>
      <c r="P48" s="1">
        <f>IF(O48="Yes", 1)</f>
        <v>1</v>
      </c>
      <c r="Q48" s="1"/>
    </row>
    <row r="49" spans="1:17" x14ac:dyDescent="0.25">
      <c r="A49">
        <v>15608</v>
      </c>
      <c r="B49" s="1" t="s">
        <v>34</v>
      </c>
      <c r="C49" s="1" t="s">
        <v>33</v>
      </c>
      <c r="D49" s="2">
        <v>30000</v>
      </c>
      <c r="E49" s="2" t="str">
        <f>IF(bike_buyers[[#This Row],[Income]]&lt;40000,"Under 40K", IF(bike_buyers[[#This Row],[Income]]&lt;60000,"40K-59K", IF(bike_buyers[[#This Row],[Income]]&lt;80000,"60K-79K", IF(bike_buyers[[#This Row],[Income]]&lt;100000,"80K-99K","100K+"))))</f>
        <v>Under 40K</v>
      </c>
      <c r="F49">
        <v>0</v>
      </c>
      <c r="G49" s="1" t="s">
        <v>18</v>
      </c>
      <c r="H49" s="1" t="s">
        <v>19</v>
      </c>
      <c r="I49" s="1" t="s">
        <v>17</v>
      </c>
      <c r="J49">
        <v>1</v>
      </c>
      <c r="K49" s="1" t="s">
        <v>21</v>
      </c>
      <c r="L49" s="1" t="s">
        <v>16</v>
      </c>
      <c r="M49">
        <v>33</v>
      </c>
      <c r="N49" s="1" t="str" cm="1">
        <f t="array" ref="N49">_xlfn.IFS(M49&lt;40, " Adult", M49&lt;60, "Middle Age", M49&gt;=60, "Older Adult")</f>
        <v xml:space="preserve"> Adult</v>
      </c>
      <c r="O49" s="1" t="s">
        <v>17</v>
      </c>
      <c r="P49" s="1" t="b">
        <f>IF(O49="Yes", 1)</f>
        <v>0</v>
      </c>
      <c r="Q49" s="1"/>
    </row>
    <row r="50" spans="1:17" x14ac:dyDescent="0.25">
      <c r="A50">
        <v>16487</v>
      </c>
      <c r="B50" s="1" t="s">
        <v>34</v>
      </c>
      <c r="C50" s="1" t="s">
        <v>33</v>
      </c>
      <c r="D50" s="2">
        <v>30000</v>
      </c>
      <c r="E50" s="2" t="str">
        <f>IF(bike_buyers[[#This Row],[Income]]&lt;40000,"Under 40K", IF(bike_buyers[[#This Row],[Income]]&lt;60000,"40K-59K", IF(bike_buyers[[#This Row],[Income]]&lt;80000,"60K-79K", IF(bike_buyers[[#This Row],[Income]]&lt;100000,"80K-99K","100K+"))))</f>
        <v>Under 40K</v>
      </c>
      <c r="F50">
        <v>3</v>
      </c>
      <c r="G50" s="1" t="s">
        <v>26</v>
      </c>
      <c r="H50" s="1" t="s">
        <v>13</v>
      </c>
      <c r="I50" s="1" t="s">
        <v>14</v>
      </c>
      <c r="J50">
        <v>2</v>
      </c>
      <c r="K50" s="1" t="s">
        <v>22</v>
      </c>
      <c r="L50" s="1" t="s">
        <v>23</v>
      </c>
      <c r="M50">
        <v>55</v>
      </c>
      <c r="N50" s="1" t="str" cm="1">
        <f t="array" ref="N50">_xlfn.IFS(M50&lt;40, " Adult", M50&lt;60, "Middle Age", M50&gt;=60, "Older Adult")</f>
        <v>Middle Age</v>
      </c>
      <c r="O50" s="1" t="s">
        <v>17</v>
      </c>
      <c r="P50" s="1" t="b">
        <f>IF(O50="Yes", 1)</f>
        <v>0</v>
      </c>
      <c r="Q50" s="1"/>
    </row>
    <row r="51" spans="1:17" x14ac:dyDescent="0.25">
      <c r="A51">
        <v>12507</v>
      </c>
      <c r="B51" s="1" t="s">
        <v>31</v>
      </c>
      <c r="C51" s="1" t="s">
        <v>32</v>
      </c>
      <c r="D51" s="2">
        <v>30000</v>
      </c>
      <c r="E51" s="2" t="str">
        <f>IF(bike_buyers[[#This Row],[Income]]&lt;40000,"Under 40K", IF(bike_buyers[[#This Row],[Income]]&lt;60000,"40K-59K", IF(bike_buyers[[#This Row],[Income]]&lt;80000,"60K-79K", IF(bike_buyers[[#This Row],[Income]]&lt;100000,"80K-99K","100K+"))))</f>
        <v>Under 40K</v>
      </c>
      <c r="F51">
        <v>1</v>
      </c>
      <c r="G51" s="1" t="s">
        <v>18</v>
      </c>
      <c r="H51" s="1" t="s">
        <v>19</v>
      </c>
      <c r="I51" s="1" t="s">
        <v>14</v>
      </c>
      <c r="J51">
        <v>1</v>
      </c>
      <c r="K51" s="1" t="s">
        <v>15</v>
      </c>
      <c r="L51" s="1" t="s">
        <v>16</v>
      </c>
      <c r="M51">
        <v>43</v>
      </c>
      <c r="N51" s="1" t="str" cm="1">
        <f t="array" ref="N51">_xlfn.IFS(M51&lt;40, " Adult", M51&lt;60, "Middle Age", M51&gt;=60, "Older Adult")</f>
        <v>Middle Age</v>
      </c>
      <c r="O51" s="1" t="s">
        <v>17</v>
      </c>
      <c r="P51" s="1" t="b">
        <f>IF(O51="Yes", 1)</f>
        <v>0</v>
      </c>
      <c r="Q51" s="1"/>
    </row>
    <row r="52" spans="1:17" x14ac:dyDescent="0.25">
      <c r="A52">
        <v>26852</v>
      </c>
      <c r="B52" s="1" t="s">
        <v>31</v>
      </c>
      <c r="C52" s="1" t="s">
        <v>33</v>
      </c>
      <c r="D52" s="2">
        <v>20000</v>
      </c>
      <c r="E52" s="2" t="str">
        <f>IF(bike_buyers[[#This Row],[Income]]&lt;40000,"Under 40K", IF(bike_buyers[[#This Row],[Income]]&lt;60000,"40K-59K", IF(bike_buyers[[#This Row],[Income]]&lt;80000,"60K-79K", IF(bike_buyers[[#This Row],[Income]]&lt;100000,"80K-99K","100K+"))))</f>
        <v>Under 40K</v>
      </c>
      <c r="F52">
        <v>3</v>
      </c>
      <c r="G52" s="1" t="s">
        <v>26</v>
      </c>
      <c r="H52" s="1" t="s">
        <v>24</v>
      </c>
      <c r="I52" s="1" t="s">
        <v>14</v>
      </c>
      <c r="J52">
        <v>2</v>
      </c>
      <c r="K52" s="1" t="s">
        <v>15</v>
      </c>
      <c r="L52" s="1" t="s">
        <v>16</v>
      </c>
      <c r="M52">
        <v>43</v>
      </c>
      <c r="N52" s="1" t="str" cm="1">
        <f t="array" ref="N52">_xlfn.IFS(M52&lt;40, " Adult", M52&lt;60, "Middle Age", M52&gt;=60, "Older Adult")</f>
        <v>Middle Age</v>
      </c>
      <c r="O52" s="1" t="s">
        <v>17</v>
      </c>
      <c r="P52" s="1" t="b">
        <f>IF(O52="Yes", 1)</f>
        <v>0</v>
      </c>
      <c r="Q52" s="1"/>
    </row>
    <row r="53" spans="1:17" x14ac:dyDescent="0.25">
      <c r="A53">
        <v>12274</v>
      </c>
      <c r="B53" s="1" t="s">
        <v>34</v>
      </c>
      <c r="C53" s="1" t="s">
        <v>32</v>
      </c>
      <c r="D53" s="2">
        <v>10000</v>
      </c>
      <c r="E53" s="2" t="str">
        <f>IF(bike_buyers[[#This Row],[Income]]&lt;40000,"Under 40K", IF(bike_buyers[[#This Row],[Income]]&lt;60000,"40K-59K", IF(bike_buyers[[#This Row],[Income]]&lt;80000,"60K-79K", IF(bike_buyers[[#This Row],[Income]]&lt;100000,"80K-99K","100K+"))))</f>
        <v>Under 40K</v>
      </c>
      <c r="F53">
        <v>2</v>
      </c>
      <c r="G53" s="1" t="s">
        <v>26</v>
      </c>
      <c r="H53" s="1" t="s">
        <v>24</v>
      </c>
      <c r="I53" s="1" t="s">
        <v>14</v>
      </c>
      <c r="J53">
        <v>0</v>
      </c>
      <c r="K53" s="1" t="s">
        <v>15</v>
      </c>
      <c r="L53" s="1" t="s">
        <v>16</v>
      </c>
      <c r="M53">
        <v>35</v>
      </c>
      <c r="N53" s="1" t="str" cm="1">
        <f t="array" ref="N53">_xlfn.IFS(M53&lt;40, " Adult", M53&lt;60, "Middle Age", M53&gt;=60, "Older Adult")</f>
        <v xml:space="preserve"> Adult</v>
      </c>
      <c r="O53" s="1" t="s">
        <v>17</v>
      </c>
      <c r="P53" s="1" t="b">
        <f>IF(O53="Yes", 1)</f>
        <v>0</v>
      </c>
      <c r="Q53" s="1"/>
    </row>
    <row r="54" spans="1:17" x14ac:dyDescent="0.25">
      <c r="A54">
        <v>24149</v>
      </c>
      <c r="B54" s="1" t="s">
        <v>31</v>
      </c>
      <c r="C54" s="1" t="s">
        <v>32</v>
      </c>
      <c r="D54" s="2">
        <v>10000</v>
      </c>
      <c r="E54" s="2" t="str">
        <f>IF(bike_buyers[[#This Row],[Income]]&lt;40000,"Under 40K", IF(bike_buyers[[#This Row],[Income]]&lt;60000,"40K-59K", IF(bike_buyers[[#This Row],[Income]]&lt;80000,"60K-79K", IF(bike_buyers[[#This Row],[Income]]&lt;100000,"80K-99K","100K+"))))</f>
        <v>Under 40K</v>
      </c>
      <c r="F54">
        <v>2</v>
      </c>
      <c r="G54" s="1" t="s">
        <v>18</v>
      </c>
      <c r="H54" s="1" t="s">
        <v>24</v>
      </c>
      <c r="I54" s="1" t="s">
        <v>14</v>
      </c>
      <c r="J54">
        <v>0</v>
      </c>
      <c r="K54" s="1" t="s">
        <v>25</v>
      </c>
      <c r="L54" s="1" t="s">
        <v>16</v>
      </c>
      <c r="M54">
        <v>49</v>
      </c>
      <c r="N54" s="1" t="str" cm="1">
        <f t="array" ref="N54">_xlfn.IFS(M54&lt;40, " Adult", M54&lt;60, "Middle Age", M54&gt;=60, "Older Adult")</f>
        <v>Middle Age</v>
      </c>
      <c r="O54" s="1" t="s">
        <v>17</v>
      </c>
      <c r="P54" s="1" t="b">
        <f>IF(O54="Yes", 1)</f>
        <v>0</v>
      </c>
      <c r="Q54" s="1"/>
    </row>
    <row r="55" spans="1:17" x14ac:dyDescent="0.25">
      <c r="A55">
        <v>22707</v>
      </c>
      <c r="B55" s="1" t="s">
        <v>34</v>
      </c>
      <c r="C55" s="1" t="s">
        <v>33</v>
      </c>
      <c r="D55" s="2">
        <v>30000</v>
      </c>
      <c r="E55" s="2" t="str">
        <f>IF(bike_buyers[[#This Row],[Income]]&lt;40000,"Under 40K", IF(bike_buyers[[#This Row],[Income]]&lt;60000,"40K-59K", IF(bike_buyers[[#This Row],[Income]]&lt;80000,"60K-79K", IF(bike_buyers[[#This Row],[Income]]&lt;100000,"80K-99K","100K+"))))</f>
        <v>Under 40K</v>
      </c>
      <c r="F55">
        <v>0</v>
      </c>
      <c r="G55" s="1" t="s">
        <v>18</v>
      </c>
      <c r="H55" s="1" t="s">
        <v>19</v>
      </c>
      <c r="I55" s="1" t="s">
        <v>17</v>
      </c>
      <c r="J55">
        <v>1</v>
      </c>
      <c r="K55" s="1" t="s">
        <v>21</v>
      </c>
      <c r="L55" s="1" t="s">
        <v>16</v>
      </c>
      <c r="M55">
        <v>30</v>
      </c>
      <c r="N55" s="1" t="str" cm="1">
        <f t="array" ref="N55">_xlfn.IFS(M55&lt;40, " Adult", M55&lt;60, "Middle Age", M55&gt;=60, "Older Adult")</f>
        <v xml:space="preserve"> Adult</v>
      </c>
      <c r="O55" s="1" t="s">
        <v>17</v>
      </c>
      <c r="P55" s="1" t="b">
        <f>IF(O55="Yes", 1)</f>
        <v>0</v>
      </c>
      <c r="Q55" s="1"/>
    </row>
    <row r="56" spans="1:17" x14ac:dyDescent="0.25">
      <c r="A56">
        <v>21006</v>
      </c>
      <c r="B56" s="1" t="s">
        <v>34</v>
      </c>
      <c r="C56" s="1" t="s">
        <v>33</v>
      </c>
      <c r="D56" s="2">
        <v>30000</v>
      </c>
      <c r="E56" s="2" t="str">
        <f>IF(bike_buyers[[#This Row],[Income]]&lt;40000,"Under 40K", IF(bike_buyers[[#This Row],[Income]]&lt;60000,"40K-59K", IF(bike_buyers[[#This Row],[Income]]&lt;80000,"60K-79K", IF(bike_buyers[[#This Row],[Income]]&lt;100000,"80K-99K","100K+"))))</f>
        <v>Under 40K</v>
      </c>
      <c r="F56">
        <v>1</v>
      </c>
      <c r="G56" s="1" t="s">
        <v>18</v>
      </c>
      <c r="H56" s="1" t="s">
        <v>24</v>
      </c>
      <c r="I56" s="1" t="s">
        <v>17</v>
      </c>
      <c r="J56">
        <v>0</v>
      </c>
      <c r="K56" s="1" t="s">
        <v>15</v>
      </c>
      <c r="L56" s="1" t="s">
        <v>16</v>
      </c>
      <c r="M56">
        <v>46</v>
      </c>
      <c r="N56" s="1" t="str" cm="1">
        <f t="array" ref="N56">_xlfn.IFS(M56&lt;40, " Adult", M56&lt;60, "Middle Age", M56&gt;=60, "Older Adult")</f>
        <v>Middle Age</v>
      </c>
      <c r="O56" s="1" t="s">
        <v>14</v>
      </c>
      <c r="P56" s="1">
        <f>IF(O56="Yes", 1)</f>
        <v>1</v>
      </c>
      <c r="Q56" s="1"/>
    </row>
    <row r="57" spans="1:17" x14ac:dyDescent="0.25">
      <c r="A57">
        <v>15030</v>
      </c>
      <c r="B57" s="1" t="s">
        <v>31</v>
      </c>
      <c r="C57" s="1" t="s">
        <v>32</v>
      </c>
      <c r="D57" s="2">
        <v>20000</v>
      </c>
      <c r="E57" s="2" t="str">
        <f>IF(bike_buyers[[#This Row],[Income]]&lt;40000,"Under 40K", IF(bike_buyers[[#This Row],[Income]]&lt;60000,"40K-59K", IF(bike_buyers[[#This Row],[Income]]&lt;80000,"60K-79K", IF(bike_buyers[[#This Row],[Income]]&lt;100000,"80K-99K","100K+"))))</f>
        <v>Under 40K</v>
      </c>
      <c r="F57">
        <v>0</v>
      </c>
      <c r="G57" s="1" t="s">
        <v>12</v>
      </c>
      <c r="H57" s="1" t="s">
        <v>19</v>
      </c>
      <c r="I57" s="1" t="s">
        <v>14</v>
      </c>
      <c r="J57">
        <v>0</v>
      </c>
      <c r="K57" s="1" t="s">
        <v>15</v>
      </c>
      <c r="L57" s="1" t="s">
        <v>23</v>
      </c>
      <c r="M57">
        <v>26</v>
      </c>
      <c r="N57" s="1" t="str" cm="1">
        <f t="array" ref="N57">_xlfn.IFS(M57&lt;40, " Adult", M57&lt;60, "Middle Age", M57&gt;=60, "Older Adult")</f>
        <v xml:space="preserve"> Adult</v>
      </c>
      <c r="O57" s="1" t="s">
        <v>14</v>
      </c>
      <c r="P57" s="1">
        <f>IF(O57="Yes", 1)</f>
        <v>1</v>
      </c>
      <c r="Q57" s="1"/>
    </row>
    <row r="58" spans="1:17" x14ac:dyDescent="0.25">
      <c r="A58">
        <v>24140</v>
      </c>
      <c r="B58" s="1" t="s">
        <v>34</v>
      </c>
      <c r="C58" s="1" t="s">
        <v>32</v>
      </c>
      <c r="D58" s="2">
        <v>10000</v>
      </c>
      <c r="E58" s="2" t="str">
        <f>IF(bike_buyers[[#This Row],[Income]]&lt;40000,"Under 40K", IF(bike_buyers[[#This Row],[Income]]&lt;60000,"40K-59K", IF(bike_buyers[[#This Row],[Income]]&lt;80000,"60K-79K", IF(bike_buyers[[#This Row],[Income]]&lt;100000,"80K-99K","100K+"))))</f>
        <v>Under 40K</v>
      </c>
      <c r="F58">
        <v>0</v>
      </c>
      <c r="G58" s="1" t="s">
        <v>29</v>
      </c>
      <c r="H58" s="1" t="s">
        <v>24</v>
      </c>
      <c r="I58" s="1" t="s">
        <v>17</v>
      </c>
      <c r="J58">
        <v>0</v>
      </c>
      <c r="K58" s="1" t="s">
        <v>15</v>
      </c>
      <c r="L58" s="1" t="s">
        <v>16</v>
      </c>
      <c r="M58">
        <v>30</v>
      </c>
      <c r="N58" s="1" t="str" cm="1">
        <f t="array" ref="N58">_xlfn.IFS(M58&lt;40, " Adult", M58&lt;60, "Middle Age", M58&gt;=60, "Older Adult")</f>
        <v xml:space="preserve"> Adult</v>
      </c>
      <c r="O58" s="1" t="s">
        <v>14</v>
      </c>
      <c r="P58" s="1">
        <f>IF(O58="Yes", 1)</f>
        <v>1</v>
      </c>
      <c r="Q58" s="1"/>
    </row>
    <row r="59" spans="1:17" x14ac:dyDescent="0.25">
      <c r="A59">
        <v>22496</v>
      </c>
      <c r="B59" s="1" t="s">
        <v>31</v>
      </c>
      <c r="C59" s="1" t="s">
        <v>33</v>
      </c>
      <c r="D59" s="2">
        <v>30000</v>
      </c>
      <c r="E59" s="2" t="str">
        <f>IF(bike_buyers[[#This Row],[Income]]&lt;40000,"Under 40K", IF(bike_buyers[[#This Row],[Income]]&lt;60000,"40K-59K", IF(bike_buyers[[#This Row],[Income]]&lt;80000,"60K-79K", IF(bike_buyers[[#This Row],[Income]]&lt;100000,"80K-99K","100K+"))))</f>
        <v>Under 40K</v>
      </c>
      <c r="F59">
        <v>1</v>
      </c>
      <c r="G59" s="1" t="s">
        <v>12</v>
      </c>
      <c r="H59" s="1" t="s">
        <v>13</v>
      </c>
      <c r="I59" s="1" t="s">
        <v>14</v>
      </c>
      <c r="J59">
        <v>2</v>
      </c>
      <c r="K59" s="1" t="s">
        <v>15</v>
      </c>
      <c r="L59" s="1" t="s">
        <v>16</v>
      </c>
      <c r="M59">
        <v>42</v>
      </c>
      <c r="N59" s="1" t="str" cm="1">
        <f t="array" ref="N59">_xlfn.IFS(M59&lt;40, " Adult", M59&lt;60, "Middle Age", M59&gt;=60, "Older Adult")</f>
        <v>Middle Age</v>
      </c>
      <c r="O59" s="1" t="s">
        <v>17</v>
      </c>
      <c r="P59" s="1" t="b">
        <f>IF(O59="Yes", 1)</f>
        <v>0</v>
      </c>
      <c r="Q59" s="1"/>
    </row>
    <row r="60" spans="1:17" x14ac:dyDescent="0.25">
      <c r="A60">
        <v>24065</v>
      </c>
      <c r="B60" s="1" t="s">
        <v>34</v>
      </c>
      <c r="C60" s="1" t="s">
        <v>33</v>
      </c>
      <c r="D60" s="2">
        <v>20000</v>
      </c>
      <c r="E60" s="2" t="str">
        <f>IF(bike_buyers[[#This Row],[Income]]&lt;40000,"Under 40K", IF(bike_buyers[[#This Row],[Income]]&lt;60000,"40K-59K", IF(bike_buyers[[#This Row],[Income]]&lt;80000,"60K-79K", IF(bike_buyers[[#This Row],[Income]]&lt;100000,"80K-99K","100K+"))))</f>
        <v>Under 40K</v>
      </c>
      <c r="F60">
        <v>0</v>
      </c>
      <c r="G60" s="1" t="s">
        <v>26</v>
      </c>
      <c r="H60" s="1" t="s">
        <v>24</v>
      </c>
      <c r="I60" s="1" t="s">
        <v>14</v>
      </c>
      <c r="J60">
        <v>0</v>
      </c>
      <c r="K60" s="1" t="s">
        <v>15</v>
      </c>
      <c r="L60" s="1" t="s">
        <v>16</v>
      </c>
      <c r="M60">
        <v>40</v>
      </c>
      <c r="N60" s="1" t="str" cm="1">
        <f t="array" ref="N60">_xlfn.IFS(M60&lt;40, " Adult", M60&lt;60, "Middle Age", M60&gt;=60, "Older Adult")</f>
        <v>Middle Age</v>
      </c>
      <c r="O60" s="1" t="s">
        <v>14</v>
      </c>
      <c r="P60" s="1">
        <f>IF(O60="Yes", 1)</f>
        <v>1</v>
      </c>
      <c r="Q60" s="1"/>
    </row>
    <row r="61" spans="1:17" x14ac:dyDescent="0.25">
      <c r="A61">
        <v>12871</v>
      </c>
      <c r="B61" s="1" t="s">
        <v>34</v>
      </c>
      <c r="C61" s="1" t="s">
        <v>33</v>
      </c>
      <c r="D61" s="2">
        <v>30000</v>
      </c>
      <c r="E61" s="2" t="str">
        <f>IF(bike_buyers[[#This Row],[Income]]&lt;40000,"Under 40K", IF(bike_buyers[[#This Row],[Income]]&lt;60000,"40K-59K", IF(bike_buyers[[#This Row],[Income]]&lt;80000,"60K-79K", IF(bike_buyers[[#This Row],[Income]]&lt;100000,"80K-99K","100K+"))))</f>
        <v>Under 40K</v>
      </c>
      <c r="F61">
        <v>0</v>
      </c>
      <c r="G61" s="1" t="s">
        <v>18</v>
      </c>
      <c r="H61" s="1" t="s">
        <v>19</v>
      </c>
      <c r="I61" s="1" t="s">
        <v>17</v>
      </c>
      <c r="J61">
        <v>1</v>
      </c>
      <c r="K61" s="1" t="s">
        <v>21</v>
      </c>
      <c r="L61" s="1" t="s">
        <v>16</v>
      </c>
      <c r="M61">
        <v>29</v>
      </c>
      <c r="N61" s="1" t="str" cm="1">
        <f t="array" ref="N61">_xlfn.IFS(M61&lt;40, " Adult", M61&lt;60, "Middle Age", M61&gt;=60, "Older Adult")</f>
        <v xml:space="preserve"> Adult</v>
      </c>
      <c r="O61" s="1" t="s">
        <v>17</v>
      </c>
      <c r="P61" s="1" t="b">
        <f>IF(O61="Yes", 1)</f>
        <v>0</v>
      </c>
      <c r="Q61" s="1"/>
    </row>
    <row r="62" spans="1:17" x14ac:dyDescent="0.25">
      <c r="A62">
        <v>12716</v>
      </c>
      <c r="B62" s="1" t="s">
        <v>34</v>
      </c>
      <c r="C62" s="1" t="s">
        <v>32</v>
      </c>
      <c r="D62" s="2">
        <v>30000</v>
      </c>
      <c r="E62" s="2" t="str">
        <f>IF(bike_buyers[[#This Row],[Income]]&lt;40000,"Under 40K", IF(bike_buyers[[#This Row],[Income]]&lt;60000,"40K-59K", IF(bike_buyers[[#This Row],[Income]]&lt;80000,"60K-79K", IF(bike_buyers[[#This Row],[Income]]&lt;100000,"80K-99K","100K+"))))</f>
        <v>Under 40K</v>
      </c>
      <c r="F62">
        <v>0</v>
      </c>
      <c r="G62" s="1" t="s">
        <v>18</v>
      </c>
      <c r="H62" s="1" t="s">
        <v>19</v>
      </c>
      <c r="I62" s="1" t="s">
        <v>14</v>
      </c>
      <c r="J62">
        <v>1</v>
      </c>
      <c r="K62" s="1" t="s">
        <v>21</v>
      </c>
      <c r="L62" s="1" t="s">
        <v>16</v>
      </c>
      <c r="M62">
        <v>32</v>
      </c>
      <c r="N62" s="1" t="str" cm="1">
        <f t="array" ref="N62">_xlfn.IFS(M62&lt;40, " Adult", M62&lt;60, "Middle Age", M62&gt;=60, "Older Adult")</f>
        <v xml:space="preserve"> Adult</v>
      </c>
      <c r="O62" s="1" t="s">
        <v>17</v>
      </c>
      <c r="P62" s="1" t="b">
        <f>IF(O62="Yes", 1)</f>
        <v>0</v>
      </c>
      <c r="Q62" s="1"/>
    </row>
    <row r="63" spans="1:17" x14ac:dyDescent="0.25">
      <c r="A63">
        <v>12472</v>
      </c>
      <c r="B63" s="1" t="s">
        <v>31</v>
      </c>
      <c r="C63" s="1" t="s">
        <v>32</v>
      </c>
      <c r="D63" s="2">
        <v>30000</v>
      </c>
      <c r="E63" s="2" t="str">
        <f>IF(bike_buyers[[#This Row],[Income]]&lt;40000,"Under 40K", IF(bike_buyers[[#This Row],[Income]]&lt;60000,"40K-59K", IF(bike_buyers[[#This Row],[Income]]&lt;80000,"60K-79K", IF(bike_buyers[[#This Row],[Income]]&lt;100000,"80K-99K","100K+"))))</f>
        <v>Under 40K</v>
      </c>
      <c r="F63">
        <v>1</v>
      </c>
      <c r="G63" s="1" t="s">
        <v>12</v>
      </c>
      <c r="H63" s="1" t="s">
        <v>19</v>
      </c>
      <c r="I63" s="1" t="s">
        <v>14</v>
      </c>
      <c r="J63">
        <v>1</v>
      </c>
      <c r="K63" s="1" t="s">
        <v>21</v>
      </c>
      <c r="L63" s="1" t="s">
        <v>16</v>
      </c>
      <c r="M63">
        <v>39</v>
      </c>
      <c r="N63" s="1" t="str" cm="1">
        <f t="array" ref="N63">_xlfn.IFS(M63&lt;40, " Adult", M63&lt;60, "Middle Age", M63&gt;=60, "Older Adult")</f>
        <v xml:space="preserve"> Adult</v>
      </c>
      <c r="O63" s="1" t="s">
        <v>17</v>
      </c>
      <c r="P63" s="1" t="b">
        <f>IF(O63="Yes", 1)</f>
        <v>0</v>
      </c>
      <c r="Q63" s="1"/>
    </row>
    <row r="64" spans="1:17" x14ac:dyDescent="0.25">
      <c r="A64">
        <v>20970</v>
      </c>
      <c r="B64" s="1" t="s">
        <v>34</v>
      </c>
      <c r="C64" s="1" t="s">
        <v>32</v>
      </c>
      <c r="D64" s="2">
        <v>10000</v>
      </c>
      <c r="E64" s="2" t="str">
        <f>IF(bike_buyers[[#This Row],[Income]]&lt;40000,"Under 40K", IF(bike_buyers[[#This Row],[Income]]&lt;60000,"40K-59K", IF(bike_buyers[[#This Row],[Income]]&lt;80000,"60K-79K", IF(bike_buyers[[#This Row],[Income]]&lt;100000,"80K-99K","100K+"))))</f>
        <v>Under 40K</v>
      </c>
      <c r="F64">
        <v>2</v>
      </c>
      <c r="G64" s="1" t="s">
        <v>18</v>
      </c>
      <c r="H64" s="1" t="s">
        <v>24</v>
      </c>
      <c r="I64" s="1" t="s">
        <v>14</v>
      </c>
      <c r="J64">
        <v>1</v>
      </c>
      <c r="K64" s="1" t="s">
        <v>15</v>
      </c>
      <c r="L64" s="1" t="s">
        <v>16</v>
      </c>
      <c r="M64">
        <v>52</v>
      </c>
      <c r="N64" s="1" t="str" cm="1">
        <f t="array" ref="N64">_xlfn.IFS(M64&lt;40, " Adult", M64&lt;60, "Middle Age", M64&gt;=60, "Older Adult")</f>
        <v>Middle Age</v>
      </c>
      <c r="O64" s="1" t="s">
        <v>14</v>
      </c>
      <c r="P64" s="1">
        <f>IF(O64="Yes", 1)</f>
        <v>1</v>
      </c>
      <c r="Q64" s="1"/>
    </row>
    <row r="65" spans="1:17" x14ac:dyDescent="0.25">
      <c r="A65">
        <v>26818</v>
      </c>
      <c r="B65" s="1" t="s">
        <v>34</v>
      </c>
      <c r="C65" s="1" t="s">
        <v>32</v>
      </c>
      <c r="D65" s="2">
        <v>10000</v>
      </c>
      <c r="E65" s="2" t="str">
        <f>IF(bike_buyers[[#This Row],[Income]]&lt;40000,"Under 40K", IF(bike_buyers[[#This Row],[Income]]&lt;60000,"40K-59K", IF(bike_buyers[[#This Row],[Income]]&lt;80000,"60K-79K", IF(bike_buyers[[#This Row],[Income]]&lt;100000,"80K-99K","100K+"))))</f>
        <v>Under 40K</v>
      </c>
      <c r="F65">
        <v>3</v>
      </c>
      <c r="G65" s="1" t="s">
        <v>26</v>
      </c>
      <c r="H65" s="1" t="s">
        <v>24</v>
      </c>
      <c r="I65" s="1" t="s">
        <v>14</v>
      </c>
      <c r="J65">
        <v>1</v>
      </c>
      <c r="K65" s="1" t="s">
        <v>15</v>
      </c>
      <c r="L65" s="1" t="s">
        <v>16</v>
      </c>
      <c r="M65">
        <v>39</v>
      </c>
      <c r="N65" s="1" t="str" cm="1">
        <f t="array" ref="N65">_xlfn.IFS(M65&lt;40, " Adult", M65&lt;60, "Middle Age", M65&gt;=60, "Older Adult")</f>
        <v xml:space="preserve"> Adult</v>
      </c>
      <c r="O65" s="1" t="s">
        <v>14</v>
      </c>
      <c r="P65" s="1">
        <f>IF(O65="Yes", 1)</f>
        <v>1</v>
      </c>
      <c r="Q65" s="1"/>
    </row>
    <row r="66" spans="1:17" x14ac:dyDescent="0.25">
      <c r="A66">
        <v>21094</v>
      </c>
      <c r="B66" s="1" t="s">
        <v>34</v>
      </c>
      <c r="C66" s="1" t="s">
        <v>33</v>
      </c>
      <c r="D66" s="2">
        <v>30000</v>
      </c>
      <c r="E66" s="2" t="str">
        <f>IF(bike_buyers[[#This Row],[Income]]&lt;40000,"Under 40K", IF(bike_buyers[[#This Row],[Income]]&lt;60000,"40K-59K", IF(bike_buyers[[#This Row],[Income]]&lt;80000,"60K-79K", IF(bike_buyers[[#This Row],[Income]]&lt;100000,"80K-99K","100K+"))))</f>
        <v>Under 40K</v>
      </c>
      <c r="F66">
        <v>2</v>
      </c>
      <c r="G66" s="1" t="s">
        <v>18</v>
      </c>
      <c r="H66" s="1" t="s">
        <v>19</v>
      </c>
      <c r="I66" s="1" t="s">
        <v>14</v>
      </c>
      <c r="J66">
        <v>2</v>
      </c>
      <c r="K66" s="1" t="s">
        <v>15</v>
      </c>
      <c r="L66" s="1" t="s">
        <v>16</v>
      </c>
      <c r="M66">
        <v>42</v>
      </c>
      <c r="N66" s="1" t="str" cm="1">
        <f t="array" ref="N66">_xlfn.IFS(M66&lt;40, " Adult", M66&lt;60, "Middle Age", M66&gt;=60, "Older Adult")</f>
        <v>Middle Age</v>
      </c>
      <c r="O66" s="1" t="s">
        <v>17</v>
      </c>
      <c r="P66" s="1" t="b">
        <f>IF(O66="Yes", 1)</f>
        <v>0</v>
      </c>
      <c r="Q66" s="1"/>
    </row>
    <row r="67" spans="1:17" x14ac:dyDescent="0.25">
      <c r="A67">
        <v>12234</v>
      </c>
      <c r="B67" s="1" t="s">
        <v>31</v>
      </c>
      <c r="C67" s="1" t="s">
        <v>32</v>
      </c>
      <c r="D67" s="2">
        <v>10000</v>
      </c>
      <c r="E67" s="2" t="str">
        <f>IF(bike_buyers[[#This Row],[Income]]&lt;40000,"Under 40K", IF(bike_buyers[[#This Row],[Income]]&lt;60000,"40K-59K", IF(bike_buyers[[#This Row],[Income]]&lt;80000,"60K-79K", IF(bike_buyers[[#This Row],[Income]]&lt;100000,"80K-99K","100K+"))))</f>
        <v>Under 40K</v>
      </c>
      <c r="F67">
        <v>2</v>
      </c>
      <c r="G67" s="1" t="s">
        <v>18</v>
      </c>
      <c r="H67" s="1" t="s">
        <v>24</v>
      </c>
      <c r="I67" s="1" t="s">
        <v>14</v>
      </c>
      <c r="J67">
        <v>1</v>
      </c>
      <c r="K67" s="1" t="s">
        <v>21</v>
      </c>
      <c r="L67" s="1" t="s">
        <v>16</v>
      </c>
      <c r="M67">
        <v>52</v>
      </c>
      <c r="N67" s="1" t="str" cm="1">
        <f t="array" ref="N67">_xlfn.IFS(M67&lt;40, " Adult", M67&lt;60, "Middle Age", M67&gt;=60, "Older Adult")</f>
        <v>Middle Age</v>
      </c>
      <c r="O67" s="1" t="s">
        <v>17</v>
      </c>
      <c r="P67" s="1" t="b">
        <f>IF(O67="Yes", 1)</f>
        <v>0</v>
      </c>
      <c r="Q67" s="1"/>
    </row>
    <row r="68" spans="1:17" x14ac:dyDescent="0.25">
      <c r="A68">
        <v>28683</v>
      </c>
      <c r="B68" s="1" t="s">
        <v>34</v>
      </c>
      <c r="C68" s="1" t="s">
        <v>33</v>
      </c>
      <c r="D68" s="2">
        <v>10000</v>
      </c>
      <c r="E68" s="2" t="str">
        <f>IF(bike_buyers[[#This Row],[Income]]&lt;40000,"Under 40K", IF(bike_buyers[[#This Row],[Income]]&lt;60000,"40K-59K", IF(bike_buyers[[#This Row],[Income]]&lt;80000,"60K-79K", IF(bike_buyers[[#This Row],[Income]]&lt;100000,"80K-99K","100K+"))))</f>
        <v>Under 40K</v>
      </c>
      <c r="F68">
        <v>1</v>
      </c>
      <c r="G68" s="1" t="s">
        <v>26</v>
      </c>
      <c r="H68" s="1" t="s">
        <v>24</v>
      </c>
      <c r="I68" s="1" t="s">
        <v>17</v>
      </c>
      <c r="J68">
        <v>1</v>
      </c>
      <c r="K68" s="1" t="s">
        <v>22</v>
      </c>
      <c r="L68" s="1" t="s">
        <v>16</v>
      </c>
      <c r="M68">
        <v>35</v>
      </c>
      <c r="N68" s="1" t="str" cm="1">
        <f t="array" ref="N68">_xlfn.IFS(M68&lt;40, " Adult", M68&lt;60, "Middle Age", M68&gt;=60, "Older Adult")</f>
        <v xml:space="preserve"> Adult</v>
      </c>
      <c r="O68" s="1" t="s">
        <v>14</v>
      </c>
      <c r="P68" s="1">
        <f>IF(O68="Yes", 1)</f>
        <v>1</v>
      </c>
      <c r="Q68" s="1"/>
    </row>
    <row r="69" spans="1:17" x14ac:dyDescent="0.25">
      <c r="A69">
        <v>17994</v>
      </c>
      <c r="B69" s="1" t="s">
        <v>34</v>
      </c>
      <c r="C69" s="1" t="s">
        <v>32</v>
      </c>
      <c r="D69" s="2">
        <v>20000</v>
      </c>
      <c r="E69" s="2" t="str">
        <f>IF(bike_buyers[[#This Row],[Income]]&lt;40000,"Under 40K", IF(bike_buyers[[#This Row],[Income]]&lt;60000,"40K-59K", IF(bike_buyers[[#This Row],[Income]]&lt;80000,"60K-79K", IF(bike_buyers[[#This Row],[Income]]&lt;100000,"80K-99K","100K+"))))</f>
        <v>Under 40K</v>
      </c>
      <c r="F69">
        <v>2</v>
      </c>
      <c r="G69" s="1" t="s">
        <v>26</v>
      </c>
      <c r="H69" s="1" t="s">
        <v>24</v>
      </c>
      <c r="I69" s="1" t="s">
        <v>14</v>
      </c>
      <c r="J69">
        <v>2</v>
      </c>
      <c r="K69" s="1" t="s">
        <v>15</v>
      </c>
      <c r="L69" s="1" t="s">
        <v>16</v>
      </c>
      <c r="M69">
        <v>42</v>
      </c>
      <c r="N69" s="1" t="str" cm="1">
        <f t="array" ref="N69">_xlfn.IFS(M69&lt;40, " Adult", M69&lt;60, "Middle Age", M69&gt;=60, "Older Adult")</f>
        <v>Middle Age</v>
      </c>
      <c r="O69" s="1" t="s">
        <v>17</v>
      </c>
      <c r="P69" s="1" t="b">
        <f>IF(O69="Yes", 1)</f>
        <v>0</v>
      </c>
      <c r="Q69" s="1"/>
    </row>
    <row r="70" spans="1:17" x14ac:dyDescent="0.25">
      <c r="A70">
        <v>24273</v>
      </c>
      <c r="B70" s="1" t="s">
        <v>31</v>
      </c>
      <c r="C70" s="1" t="s">
        <v>33</v>
      </c>
      <c r="D70" s="2">
        <v>20000</v>
      </c>
      <c r="E70" s="2" t="str">
        <f>IF(bike_buyers[[#This Row],[Income]]&lt;40000,"Under 40K", IF(bike_buyers[[#This Row],[Income]]&lt;60000,"40K-59K", IF(bike_buyers[[#This Row],[Income]]&lt;80000,"60K-79K", IF(bike_buyers[[#This Row],[Income]]&lt;100000,"80K-99K","100K+"))))</f>
        <v>Under 40K</v>
      </c>
      <c r="F70">
        <v>2</v>
      </c>
      <c r="G70" s="1" t="s">
        <v>28</v>
      </c>
      <c r="H70" s="1" t="s">
        <v>19</v>
      </c>
      <c r="I70" s="1" t="s">
        <v>14</v>
      </c>
      <c r="J70">
        <v>2</v>
      </c>
      <c r="K70" s="1" t="s">
        <v>22</v>
      </c>
      <c r="L70" s="1" t="s">
        <v>23</v>
      </c>
      <c r="M70">
        <v>55</v>
      </c>
      <c r="N70" s="1" t="str" cm="1">
        <f t="array" ref="N70">_xlfn.IFS(M70&lt;40, " Adult", M70&lt;60, "Middle Age", M70&gt;=60, "Older Adult")</f>
        <v>Middle Age</v>
      </c>
      <c r="O70" s="1" t="s">
        <v>14</v>
      </c>
      <c r="P70" s="1">
        <f>IF(O70="Yes", 1)</f>
        <v>1</v>
      </c>
      <c r="Q70" s="1"/>
    </row>
    <row r="71" spans="1:17" x14ac:dyDescent="0.25">
      <c r="A71">
        <v>26547</v>
      </c>
      <c r="B71" s="1" t="s">
        <v>34</v>
      </c>
      <c r="C71" s="1" t="s">
        <v>33</v>
      </c>
      <c r="D71" s="2">
        <v>30000</v>
      </c>
      <c r="E71" s="2" t="str">
        <f>IF(bike_buyers[[#This Row],[Income]]&lt;40000,"Under 40K", IF(bike_buyers[[#This Row],[Income]]&lt;60000,"40K-59K", IF(bike_buyers[[#This Row],[Income]]&lt;80000,"60K-79K", IF(bike_buyers[[#This Row],[Income]]&lt;100000,"80K-99K","100K+"))))</f>
        <v>Under 40K</v>
      </c>
      <c r="F71">
        <v>2</v>
      </c>
      <c r="G71" s="1" t="s">
        <v>18</v>
      </c>
      <c r="H71" s="1" t="s">
        <v>19</v>
      </c>
      <c r="I71" s="1" t="s">
        <v>17</v>
      </c>
      <c r="J71">
        <v>2</v>
      </c>
      <c r="K71" s="1" t="s">
        <v>22</v>
      </c>
      <c r="L71" s="1" t="s">
        <v>23</v>
      </c>
      <c r="M71">
        <v>60</v>
      </c>
      <c r="N71" s="1" t="str" cm="1">
        <f t="array" ref="N71">_xlfn.IFS(M71&lt;40, " Adult", M71&lt;60, "Middle Age", M71&gt;=60, "Older Adult")</f>
        <v>Older Adult</v>
      </c>
      <c r="O71" s="1" t="s">
        <v>14</v>
      </c>
      <c r="P71" s="1">
        <f>IF(O71="Yes", 1)</f>
        <v>1</v>
      </c>
      <c r="Q71" s="1"/>
    </row>
    <row r="72" spans="1:17" x14ac:dyDescent="0.25">
      <c r="A72">
        <v>23993</v>
      </c>
      <c r="B72" s="1" t="s">
        <v>34</v>
      </c>
      <c r="C72" s="1" t="s">
        <v>33</v>
      </c>
      <c r="D72" s="2">
        <v>10000</v>
      </c>
      <c r="E72" s="2" t="str">
        <f>IF(bike_buyers[[#This Row],[Income]]&lt;40000,"Under 40K", IF(bike_buyers[[#This Row],[Income]]&lt;60000,"40K-59K", IF(bike_buyers[[#This Row],[Income]]&lt;80000,"60K-79K", IF(bike_buyers[[#This Row],[Income]]&lt;100000,"80K-99K","100K+"))))</f>
        <v>Under 40K</v>
      </c>
      <c r="F72">
        <v>0</v>
      </c>
      <c r="G72" s="1" t="s">
        <v>18</v>
      </c>
      <c r="H72" s="1" t="s">
        <v>24</v>
      </c>
      <c r="I72" s="1" t="s">
        <v>17</v>
      </c>
      <c r="J72">
        <v>1</v>
      </c>
      <c r="K72" s="1" t="s">
        <v>15</v>
      </c>
      <c r="L72" s="1" t="s">
        <v>23</v>
      </c>
      <c r="M72">
        <v>26</v>
      </c>
      <c r="N72" s="1" t="str" cm="1">
        <f t="array" ref="N72">_xlfn.IFS(M72&lt;40, " Adult", M72&lt;60, "Middle Age", M72&gt;=60, "Older Adult")</f>
        <v xml:space="preserve"> Adult</v>
      </c>
      <c r="O72" s="1" t="s">
        <v>14</v>
      </c>
      <c r="P72" s="1">
        <f>IF(O72="Yes", 1)</f>
        <v>1</v>
      </c>
      <c r="Q72" s="1"/>
    </row>
    <row r="73" spans="1:17" x14ac:dyDescent="0.25">
      <c r="A73">
        <v>20877</v>
      </c>
      <c r="B73" s="1" t="s">
        <v>34</v>
      </c>
      <c r="C73" s="1" t="s">
        <v>32</v>
      </c>
      <c r="D73" s="2">
        <v>30000</v>
      </c>
      <c r="E73" s="2" t="str">
        <f>IF(bike_buyers[[#This Row],[Income]]&lt;40000,"Under 40K", IF(bike_buyers[[#This Row],[Income]]&lt;60000,"40K-59K", IF(bike_buyers[[#This Row],[Income]]&lt;80000,"60K-79K", IF(bike_buyers[[#This Row],[Income]]&lt;100000,"80K-99K","100K+"))))</f>
        <v>Under 40K</v>
      </c>
      <c r="F73">
        <v>1</v>
      </c>
      <c r="G73" s="1" t="s">
        <v>12</v>
      </c>
      <c r="H73" s="1" t="s">
        <v>19</v>
      </c>
      <c r="I73" s="1" t="s">
        <v>14</v>
      </c>
      <c r="J73">
        <v>0</v>
      </c>
      <c r="K73" s="1" t="s">
        <v>25</v>
      </c>
      <c r="L73" s="1" t="s">
        <v>16</v>
      </c>
      <c r="M73">
        <v>37</v>
      </c>
      <c r="N73" s="1" t="str" cm="1">
        <f t="array" ref="N73">_xlfn.IFS(M73&lt;40, " Adult", M73&lt;60, "Middle Age", M73&gt;=60, "Older Adult")</f>
        <v xml:space="preserve"> Adult</v>
      </c>
      <c r="O73" s="1" t="s">
        <v>14</v>
      </c>
      <c r="P73" s="1">
        <f>IF(O73="Yes", 1)</f>
        <v>1</v>
      </c>
      <c r="Q73" s="1"/>
    </row>
    <row r="74" spans="1:17" x14ac:dyDescent="0.25">
      <c r="A74">
        <v>19675</v>
      </c>
      <c r="B74" s="1" t="s">
        <v>31</v>
      </c>
      <c r="C74" s="1" t="s">
        <v>32</v>
      </c>
      <c r="D74" s="2">
        <v>20000</v>
      </c>
      <c r="E74" s="2" t="str">
        <f>IF(bike_buyers[[#This Row],[Income]]&lt;40000,"Under 40K", IF(bike_buyers[[#This Row],[Income]]&lt;60000,"40K-59K", IF(bike_buyers[[#This Row],[Income]]&lt;80000,"60K-79K", IF(bike_buyers[[#This Row],[Income]]&lt;100000,"80K-99K","100K+"))))</f>
        <v>Under 40K</v>
      </c>
      <c r="F74">
        <v>4</v>
      </c>
      <c r="G74" s="1" t="s">
        <v>26</v>
      </c>
      <c r="H74" s="1" t="s">
        <v>13</v>
      </c>
      <c r="I74" s="1" t="s">
        <v>14</v>
      </c>
      <c r="J74">
        <v>2</v>
      </c>
      <c r="K74" s="1" t="s">
        <v>22</v>
      </c>
      <c r="L74" s="1" t="s">
        <v>23</v>
      </c>
      <c r="M74">
        <v>60</v>
      </c>
      <c r="N74" s="1" t="str" cm="1">
        <f t="array" ref="N74">_xlfn.IFS(M74&lt;40, " Adult", M74&lt;60, "Middle Age", M74&gt;=60, "Older Adult")</f>
        <v>Older Adult</v>
      </c>
      <c r="O74" s="1" t="s">
        <v>17</v>
      </c>
      <c r="P74" s="1" t="b">
        <f>IF(O74="Yes", 1)</f>
        <v>0</v>
      </c>
      <c r="Q74" s="1"/>
    </row>
    <row r="75" spans="1:17" x14ac:dyDescent="0.25">
      <c r="A75">
        <v>12728</v>
      </c>
      <c r="B75" s="1" t="s">
        <v>34</v>
      </c>
      <c r="C75" s="1" t="s">
        <v>32</v>
      </c>
      <c r="D75" s="2">
        <v>30000</v>
      </c>
      <c r="E75" s="2" t="str">
        <f>IF(bike_buyers[[#This Row],[Income]]&lt;40000,"Under 40K", IF(bike_buyers[[#This Row],[Income]]&lt;60000,"40K-59K", IF(bike_buyers[[#This Row],[Income]]&lt;80000,"60K-79K", IF(bike_buyers[[#This Row],[Income]]&lt;100000,"80K-99K","100K+"))))</f>
        <v>Under 40K</v>
      </c>
      <c r="F75">
        <v>0</v>
      </c>
      <c r="G75" s="1" t="s">
        <v>18</v>
      </c>
      <c r="H75" s="1" t="s">
        <v>19</v>
      </c>
      <c r="I75" s="1" t="s">
        <v>17</v>
      </c>
      <c r="J75">
        <v>1</v>
      </c>
      <c r="K75" s="1" t="s">
        <v>25</v>
      </c>
      <c r="L75" s="1" t="s">
        <v>16</v>
      </c>
      <c r="M75">
        <v>27</v>
      </c>
      <c r="N75" s="1" t="str" cm="1">
        <f t="array" ref="N75">_xlfn.IFS(M75&lt;40, " Adult", M75&lt;60, "Middle Age", M75&gt;=60, "Older Adult")</f>
        <v xml:space="preserve"> Adult</v>
      </c>
      <c r="O75" s="1" t="s">
        <v>17</v>
      </c>
      <c r="P75" s="1" t="b">
        <f>IF(O75="Yes", 1)</f>
        <v>0</v>
      </c>
      <c r="Q75" s="1"/>
    </row>
    <row r="76" spans="1:17" x14ac:dyDescent="0.25">
      <c r="A76">
        <v>17845</v>
      </c>
      <c r="B76" s="1" t="s">
        <v>34</v>
      </c>
      <c r="C76" s="1" t="s">
        <v>33</v>
      </c>
      <c r="D76" s="2">
        <v>20000</v>
      </c>
      <c r="E76" s="2" t="str">
        <f>IF(bike_buyers[[#This Row],[Income]]&lt;40000,"Under 40K", IF(bike_buyers[[#This Row],[Income]]&lt;60000,"40K-59K", IF(bike_buyers[[#This Row],[Income]]&lt;80000,"60K-79K", IF(bike_buyers[[#This Row],[Income]]&lt;100000,"80K-99K","100K+"))))</f>
        <v>Under 40K</v>
      </c>
      <c r="F76">
        <v>0</v>
      </c>
      <c r="G76" s="1" t="s">
        <v>28</v>
      </c>
      <c r="H76" s="1" t="s">
        <v>24</v>
      </c>
      <c r="I76" s="1" t="s">
        <v>17</v>
      </c>
      <c r="J76">
        <v>2</v>
      </c>
      <c r="K76" s="1" t="s">
        <v>25</v>
      </c>
      <c r="L76" s="1" t="s">
        <v>16</v>
      </c>
      <c r="M76">
        <v>32</v>
      </c>
      <c r="N76" s="1" t="str" cm="1">
        <f t="array" ref="N76">_xlfn.IFS(M76&lt;40, " Adult", M76&lt;60, "Middle Age", M76&gt;=60, "Older Adult")</f>
        <v xml:space="preserve"> Adult</v>
      </c>
      <c r="O76" s="1" t="s">
        <v>17</v>
      </c>
      <c r="P76" s="1" t="b">
        <f>IF(O76="Yes", 1)</f>
        <v>0</v>
      </c>
      <c r="Q76" s="1"/>
    </row>
    <row r="77" spans="1:17" x14ac:dyDescent="0.25">
      <c r="A77">
        <v>14798</v>
      </c>
      <c r="B77" s="1" t="s">
        <v>34</v>
      </c>
      <c r="C77" s="1" t="s">
        <v>33</v>
      </c>
      <c r="D77" s="2">
        <v>10000</v>
      </c>
      <c r="E77" s="2" t="str">
        <f>IF(bike_buyers[[#This Row],[Income]]&lt;40000,"Under 40K", IF(bike_buyers[[#This Row],[Income]]&lt;60000,"40K-59K", IF(bike_buyers[[#This Row],[Income]]&lt;80000,"60K-79K", IF(bike_buyers[[#This Row],[Income]]&lt;100000,"80K-99K","100K+"))))</f>
        <v>Under 40K</v>
      </c>
      <c r="F77">
        <v>4</v>
      </c>
      <c r="G77" s="1" t="s">
        <v>28</v>
      </c>
      <c r="H77" s="1" t="s">
        <v>24</v>
      </c>
      <c r="I77" s="1" t="s">
        <v>14</v>
      </c>
      <c r="J77">
        <v>2</v>
      </c>
      <c r="K77" s="1" t="s">
        <v>15</v>
      </c>
      <c r="L77" s="1" t="s">
        <v>16</v>
      </c>
      <c r="M77">
        <v>41</v>
      </c>
      <c r="N77" s="1" t="str" cm="1">
        <f t="array" ref="N77">_xlfn.IFS(M77&lt;40, " Adult", M77&lt;60, "Middle Age", M77&gt;=60, "Older Adult")</f>
        <v>Middle Age</v>
      </c>
      <c r="O77" s="1" t="s">
        <v>14</v>
      </c>
      <c r="P77" s="1">
        <f>IF(O77="Yes", 1)</f>
        <v>1</v>
      </c>
      <c r="Q77" s="1"/>
    </row>
    <row r="78" spans="1:17" x14ac:dyDescent="0.25">
      <c r="A78">
        <v>23979</v>
      </c>
      <c r="B78" s="1" t="s">
        <v>34</v>
      </c>
      <c r="C78" s="1" t="s">
        <v>32</v>
      </c>
      <c r="D78" s="2">
        <v>10000</v>
      </c>
      <c r="E78" s="2" t="str">
        <f>IF(bike_buyers[[#This Row],[Income]]&lt;40000,"Under 40K", IF(bike_buyers[[#This Row],[Income]]&lt;60000,"40K-59K", IF(bike_buyers[[#This Row],[Income]]&lt;80000,"60K-79K", IF(bike_buyers[[#This Row],[Income]]&lt;100000,"80K-99K","100K+"))))</f>
        <v>Under 40K</v>
      </c>
      <c r="F78">
        <v>2</v>
      </c>
      <c r="G78" s="1" t="s">
        <v>18</v>
      </c>
      <c r="H78" s="1" t="s">
        <v>24</v>
      </c>
      <c r="I78" s="1" t="s">
        <v>17</v>
      </c>
      <c r="J78">
        <v>0</v>
      </c>
      <c r="K78" s="1" t="s">
        <v>15</v>
      </c>
      <c r="L78" s="1" t="s">
        <v>16</v>
      </c>
      <c r="M78">
        <v>50</v>
      </c>
      <c r="N78" s="1" t="str" cm="1">
        <f t="array" ref="N78">_xlfn.IFS(M78&lt;40, " Adult", M78&lt;60, "Middle Age", M78&gt;=60, "Older Adult")</f>
        <v>Middle Age</v>
      </c>
      <c r="O78" s="1" t="s">
        <v>17</v>
      </c>
      <c r="P78" s="1" t="b">
        <f>IF(O78="Yes", 1)</f>
        <v>0</v>
      </c>
      <c r="Q78" s="1"/>
    </row>
    <row r="79" spans="1:17" x14ac:dyDescent="0.25">
      <c r="A79">
        <v>25605</v>
      </c>
      <c r="B79" s="1" t="s">
        <v>34</v>
      </c>
      <c r="C79" s="1" t="s">
        <v>33</v>
      </c>
      <c r="D79" s="2">
        <v>20000</v>
      </c>
      <c r="E79" s="2" t="str">
        <f>IF(bike_buyers[[#This Row],[Income]]&lt;40000,"Under 40K", IF(bike_buyers[[#This Row],[Income]]&lt;60000,"40K-59K", IF(bike_buyers[[#This Row],[Income]]&lt;80000,"60K-79K", IF(bike_buyers[[#This Row],[Income]]&lt;100000,"80K-99K","100K+"))))</f>
        <v>Under 40K</v>
      </c>
      <c r="F79">
        <v>2</v>
      </c>
      <c r="G79" s="1" t="s">
        <v>18</v>
      </c>
      <c r="H79" s="1" t="s">
        <v>24</v>
      </c>
      <c r="I79" s="1" t="s">
        <v>17</v>
      </c>
      <c r="J79">
        <v>1</v>
      </c>
      <c r="K79" s="1" t="s">
        <v>15</v>
      </c>
      <c r="L79" s="1" t="s">
        <v>16</v>
      </c>
      <c r="M79">
        <v>54</v>
      </c>
      <c r="N79" s="1" t="str" cm="1">
        <f t="array" ref="N79">_xlfn.IFS(M79&lt;40, " Adult", M79&lt;60, "Middle Age", M79&gt;=60, "Older Adult")</f>
        <v>Middle Age</v>
      </c>
      <c r="O79" s="1" t="s">
        <v>14</v>
      </c>
      <c r="P79" s="1">
        <f>IF(O79="Yes", 1)</f>
        <v>1</v>
      </c>
      <c r="Q79" s="1"/>
    </row>
    <row r="80" spans="1:17" x14ac:dyDescent="0.25">
      <c r="A80">
        <v>20797</v>
      </c>
      <c r="B80" s="1" t="s">
        <v>31</v>
      </c>
      <c r="C80" s="1" t="s">
        <v>33</v>
      </c>
      <c r="D80" s="2">
        <v>10000</v>
      </c>
      <c r="E80" s="2" t="str">
        <f>IF(bike_buyers[[#This Row],[Income]]&lt;40000,"Under 40K", IF(bike_buyers[[#This Row],[Income]]&lt;60000,"40K-59K", IF(bike_buyers[[#This Row],[Income]]&lt;80000,"60K-79K", IF(bike_buyers[[#This Row],[Income]]&lt;100000,"80K-99K","100K+"))))</f>
        <v>Under 40K</v>
      </c>
      <c r="F80">
        <v>1</v>
      </c>
      <c r="G80" s="1" t="s">
        <v>12</v>
      </c>
      <c r="H80" s="1" t="s">
        <v>24</v>
      </c>
      <c r="I80" s="1" t="s">
        <v>14</v>
      </c>
      <c r="J80">
        <v>0</v>
      </c>
      <c r="K80" s="1" t="s">
        <v>15</v>
      </c>
      <c r="L80" s="1" t="s">
        <v>16</v>
      </c>
      <c r="M80">
        <v>48</v>
      </c>
      <c r="N80" s="1" t="str" cm="1">
        <f t="array" ref="N80">_xlfn.IFS(M80&lt;40, " Adult", M80&lt;60, "Middle Age", M80&gt;=60, "Older Adult")</f>
        <v>Middle Age</v>
      </c>
      <c r="O80" s="1" t="s">
        <v>17</v>
      </c>
      <c r="P80" s="1" t="b">
        <f>IF(O80="Yes", 1)</f>
        <v>0</v>
      </c>
      <c r="Q80" s="1"/>
    </row>
    <row r="81" spans="1:17" x14ac:dyDescent="0.25">
      <c r="A81">
        <v>25460</v>
      </c>
      <c r="B81" s="1" t="s">
        <v>31</v>
      </c>
      <c r="C81" s="1" t="s">
        <v>33</v>
      </c>
      <c r="D81" s="2">
        <v>20000</v>
      </c>
      <c r="E81" s="2" t="str">
        <f>IF(bike_buyers[[#This Row],[Income]]&lt;40000,"Under 40K", IF(bike_buyers[[#This Row],[Income]]&lt;60000,"40K-59K", IF(bike_buyers[[#This Row],[Income]]&lt;80000,"60K-79K", IF(bike_buyers[[#This Row],[Income]]&lt;100000,"80K-99K","100K+"))))</f>
        <v>Under 40K</v>
      </c>
      <c r="F81">
        <v>2</v>
      </c>
      <c r="G81" s="1" t="s">
        <v>26</v>
      </c>
      <c r="H81" s="1" t="s">
        <v>24</v>
      </c>
      <c r="I81" s="1" t="s">
        <v>14</v>
      </c>
      <c r="J81">
        <v>0</v>
      </c>
      <c r="K81" s="1" t="s">
        <v>15</v>
      </c>
      <c r="L81" s="1" t="s">
        <v>16</v>
      </c>
      <c r="M81">
        <v>40</v>
      </c>
      <c r="N81" s="1" t="str" cm="1">
        <f t="array" ref="N81">_xlfn.IFS(M81&lt;40, " Adult", M81&lt;60, "Middle Age", M81&gt;=60, "Older Adult")</f>
        <v>Middle Age</v>
      </c>
      <c r="O81" s="1" t="s">
        <v>14</v>
      </c>
      <c r="P81" s="1">
        <f>IF(O81="Yes", 1)</f>
        <v>1</v>
      </c>
      <c r="Q81" s="1"/>
    </row>
    <row r="82" spans="1:17" x14ac:dyDescent="0.25">
      <c r="A82">
        <v>22402</v>
      </c>
      <c r="B82" s="1" t="s">
        <v>31</v>
      </c>
      <c r="C82" s="1" t="s">
        <v>32</v>
      </c>
      <c r="D82" s="2">
        <v>10000</v>
      </c>
      <c r="E82" s="2" t="str">
        <f>IF(bike_buyers[[#This Row],[Income]]&lt;40000,"Under 40K", IF(bike_buyers[[#This Row],[Income]]&lt;60000,"40K-59K", IF(bike_buyers[[#This Row],[Income]]&lt;80000,"60K-79K", IF(bike_buyers[[#This Row],[Income]]&lt;100000,"80K-99K","100K+"))))</f>
        <v>Under 40K</v>
      </c>
      <c r="F82">
        <v>0</v>
      </c>
      <c r="G82" s="1" t="s">
        <v>18</v>
      </c>
      <c r="H82" s="1" t="s">
        <v>24</v>
      </c>
      <c r="I82" s="1" t="s">
        <v>14</v>
      </c>
      <c r="J82">
        <v>1</v>
      </c>
      <c r="K82" s="1" t="s">
        <v>21</v>
      </c>
      <c r="L82" s="1" t="s">
        <v>23</v>
      </c>
      <c r="M82">
        <v>25</v>
      </c>
      <c r="N82" s="1" t="str" cm="1">
        <f t="array" ref="N82">_xlfn.IFS(M82&lt;40, " Adult", M82&lt;60, "Middle Age", M82&gt;=60, "Older Adult")</f>
        <v xml:space="preserve"> Adult</v>
      </c>
      <c r="O82" s="1" t="s">
        <v>14</v>
      </c>
      <c r="P82" s="1">
        <f>IF(O82="Yes", 1)</f>
        <v>1</v>
      </c>
      <c r="Q82" s="1"/>
    </row>
    <row r="83" spans="1:17" x14ac:dyDescent="0.25">
      <c r="A83">
        <v>15465</v>
      </c>
      <c r="B83" s="1" t="s">
        <v>31</v>
      </c>
      <c r="C83" s="1" t="s">
        <v>33</v>
      </c>
      <c r="D83" s="2">
        <v>10000</v>
      </c>
      <c r="E83" s="2" t="str">
        <f>IF(bike_buyers[[#This Row],[Income]]&lt;40000,"Under 40K", IF(bike_buyers[[#This Row],[Income]]&lt;60000,"40K-59K", IF(bike_buyers[[#This Row],[Income]]&lt;80000,"60K-79K", IF(bike_buyers[[#This Row],[Income]]&lt;100000,"80K-99K","100K+"))))</f>
        <v>Under 40K</v>
      </c>
      <c r="F83">
        <v>0</v>
      </c>
      <c r="G83" s="1" t="s">
        <v>18</v>
      </c>
      <c r="H83" s="1" t="s">
        <v>24</v>
      </c>
      <c r="I83" s="1" t="s">
        <v>17</v>
      </c>
      <c r="J83">
        <v>1</v>
      </c>
      <c r="K83" s="1" t="s">
        <v>15</v>
      </c>
      <c r="L83" s="1" t="s">
        <v>23</v>
      </c>
      <c r="M83">
        <v>25</v>
      </c>
      <c r="N83" s="1" t="str" cm="1">
        <f t="array" ref="N83">_xlfn.IFS(M83&lt;40, " Adult", M83&lt;60, "Middle Age", M83&gt;=60, "Older Adult")</f>
        <v xml:space="preserve"> Adult</v>
      </c>
      <c r="O83" s="1" t="s">
        <v>17</v>
      </c>
      <c r="P83" s="1" t="b">
        <f>IF(O83="Yes", 1)</f>
        <v>0</v>
      </c>
      <c r="Q83" s="1"/>
    </row>
    <row r="84" spans="1:17" x14ac:dyDescent="0.25">
      <c r="A84">
        <v>12273</v>
      </c>
      <c r="B84" s="1" t="s">
        <v>31</v>
      </c>
      <c r="C84" s="1" t="s">
        <v>32</v>
      </c>
      <c r="D84" s="2">
        <v>30000</v>
      </c>
      <c r="E84" s="2" t="str">
        <f>IF(bike_buyers[[#This Row],[Income]]&lt;40000,"Under 40K", IF(bike_buyers[[#This Row],[Income]]&lt;60000,"40K-59K", IF(bike_buyers[[#This Row],[Income]]&lt;80000,"60K-79K", IF(bike_buyers[[#This Row],[Income]]&lt;100000,"80K-99K","100K+"))))</f>
        <v>Under 40K</v>
      </c>
      <c r="F84">
        <v>1</v>
      </c>
      <c r="G84" s="1" t="s">
        <v>12</v>
      </c>
      <c r="H84" s="1" t="s">
        <v>19</v>
      </c>
      <c r="I84" s="1" t="s">
        <v>14</v>
      </c>
      <c r="J84">
        <v>0</v>
      </c>
      <c r="K84" s="1" t="s">
        <v>15</v>
      </c>
      <c r="L84" s="1" t="s">
        <v>16</v>
      </c>
      <c r="M84">
        <v>47</v>
      </c>
      <c r="N84" s="1" t="str" cm="1">
        <f t="array" ref="N84">_xlfn.IFS(M84&lt;40, " Adult", M84&lt;60, "Middle Age", M84&gt;=60, "Older Adult")</f>
        <v>Middle Age</v>
      </c>
      <c r="O84" s="1" t="s">
        <v>17</v>
      </c>
      <c r="P84" s="1" t="b">
        <f>IF(O84="Yes", 1)</f>
        <v>0</v>
      </c>
      <c r="Q84" s="1"/>
    </row>
    <row r="85" spans="1:17" x14ac:dyDescent="0.25">
      <c r="A85">
        <v>23963</v>
      </c>
      <c r="B85" s="1" t="s">
        <v>31</v>
      </c>
      <c r="C85" s="1" t="s">
        <v>32</v>
      </c>
      <c r="D85" s="2">
        <v>10000</v>
      </c>
      <c r="E85" s="2" t="str">
        <f>IF(bike_buyers[[#This Row],[Income]]&lt;40000,"Under 40K", IF(bike_buyers[[#This Row],[Income]]&lt;60000,"40K-59K", IF(bike_buyers[[#This Row],[Income]]&lt;80000,"60K-79K", IF(bike_buyers[[#This Row],[Income]]&lt;100000,"80K-99K","100K+"))))</f>
        <v>Under 40K</v>
      </c>
      <c r="F85">
        <v>0</v>
      </c>
      <c r="G85" s="1" t="s">
        <v>28</v>
      </c>
      <c r="H85" s="1" t="s">
        <v>24</v>
      </c>
      <c r="I85" s="1" t="s">
        <v>17</v>
      </c>
      <c r="J85">
        <v>2</v>
      </c>
      <c r="K85" s="1" t="s">
        <v>15</v>
      </c>
      <c r="L85" s="1" t="s">
        <v>16</v>
      </c>
      <c r="M85">
        <v>33</v>
      </c>
      <c r="N85" s="1" t="str" cm="1">
        <f t="array" ref="N85">_xlfn.IFS(M85&lt;40, " Adult", M85&lt;60, "Middle Age", M85&gt;=60, "Older Adult")</f>
        <v xml:space="preserve"> Adult</v>
      </c>
      <c r="O85" s="1" t="s">
        <v>17</v>
      </c>
      <c r="P85" s="1" t="b">
        <f>IF(O85="Yes", 1)</f>
        <v>0</v>
      </c>
      <c r="Q85" s="1"/>
    </row>
    <row r="86" spans="1:17" x14ac:dyDescent="0.25">
      <c r="A86">
        <v>17907</v>
      </c>
      <c r="B86" s="1" t="s">
        <v>31</v>
      </c>
      <c r="C86" s="1" t="s">
        <v>33</v>
      </c>
      <c r="D86" s="2">
        <v>10000</v>
      </c>
      <c r="E86" s="2" t="str">
        <f>IF(bike_buyers[[#This Row],[Income]]&lt;40000,"Under 40K", IF(bike_buyers[[#This Row],[Income]]&lt;60000,"40K-59K", IF(bike_buyers[[#This Row],[Income]]&lt;80000,"60K-79K", IF(bike_buyers[[#This Row],[Income]]&lt;100000,"80K-99K","100K+"))))</f>
        <v>Under 40K</v>
      </c>
      <c r="F86">
        <v>0</v>
      </c>
      <c r="G86" s="1" t="s">
        <v>18</v>
      </c>
      <c r="H86" s="1" t="s">
        <v>24</v>
      </c>
      <c r="I86" s="1" t="s">
        <v>14</v>
      </c>
      <c r="J86">
        <v>1</v>
      </c>
      <c r="K86" s="1" t="s">
        <v>21</v>
      </c>
      <c r="L86" s="1" t="s">
        <v>23</v>
      </c>
      <c r="M86">
        <v>27</v>
      </c>
      <c r="N86" s="1" t="str" cm="1">
        <f t="array" ref="N86">_xlfn.IFS(M86&lt;40, " Adult", M86&lt;60, "Middle Age", M86&gt;=60, "Older Adult")</f>
        <v xml:space="preserve"> Adult</v>
      </c>
      <c r="O86" s="1" t="s">
        <v>17</v>
      </c>
      <c r="P86" s="1" t="b">
        <f>IF(O86="Yes", 1)</f>
        <v>0</v>
      </c>
      <c r="Q86" s="1"/>
    </row>
    <row r="87" spans="1:17" x14ac:dyDescent="0.25">
      <c r="A87">
        <v>12253</v>
      </c>
      <c r="B87" s="1" t="s">
        <v>34</v>
      </c>
      <c r="C87" s="1" t="s">
        <v>33</v>
      </c>
      <c r="D87" s="2">
        <v>20000</v>
      </c>
      <c r="E87" s="2" t="str">
        <f>IF(bike_buyers[[#This Row],[Income]]&lt;40000,"Under 40K", IF(bike_buyers[[#This Row],[Income]]&lt;60000,"40K-59K", IF(bike_buyers[[#This Row],[Income]]&lt;80000,"60K-79K", IF(bike_buyers[[#This Row],[Income]]&lt;100000,"80K-99K","100K+"))))</f>
        <v>Under 40K</v>
      </c>
      <c r="F87">
        <v>0</v>
      </c>
      <c r="G87" s="1" t="s">
        <v>18</v>
      </c>
      <c r="H87" s="1" t="s">
        <v>24</v>
      </c>
      <c r="I87" s="1" t="s">
        <v>14</v>
      </c>
      <c r="J87">
        <v>0</v>
      </c>
      <c r="K87" s="1" t="s">
        <v>15</v>
      </c>
      <c r="L87" s="1" t="s">
        <v>23</v>
      </c>
      <c r="M87">
        <v>29</v>
      </c>
      <c r="N87" s="1" t="str" cm="1">
        <f t="array" ref="N87">_xlfn.IFS(M87&lt;40, " Adult", M87&lt;60, "Middle Age", M87&gt;=60, "Older Adult")</f>
        <v xml:space="preserve"> Adult</v>
      </c>
      <c r="O87" s="1" t="s">
        <v>14</v>
      </c>
      <c r="P87" s="1">
        <f>IF(O87="Yes", 1)</f>
        <v>1</v>
      </c>
      <c r="Q87" s="1"/>
    </row>
    <row r="88" spans="1:17" x14ac:dyDescent="0.25">
      <c r="A88">
        <v>12212</v>
      </c>
      <c r="B88" s="1" t="s">
        <v>31</v>
      </c>
      <c r="C88" s="1" t="s">
        <v>33</v>
      </c>
      <c r="D88" s="2">
        <v>10000</v>
      </c>
      <c r="E88" s="2" t="str">
        <f>IF(bike_buyers[[#This Row],[Income]]&lt;40000,"Under 40K", IF(bike_buyers[[#This Row],[Income]]&lt;60000,"40K-59K", IF(bike_buyers[[#This Row],[Income]]&lt;80000,"60K-79K", IF(bike_buyers[[#This Row],[Income]]&lt;100000,"80K-99K","100K+"))))</f>
        <v>Under 40K</v>
      </c>
      <c r="F88">
        <v>0</v>
      </c>
      <c r="G88" s="1" t="s">
        <v>29</v>
      </c>
      <c r="H88" s="1" t="s">
        <v>24</v>
      </c>
      <c r="I88" s="1" t="s">
        <v>14</v>
      </c>
      <c r="J88">
        <v>0</v>
      </c>
      <c r="K88" s="1" t="s">
        <v>15</v>
      </c>
      <c r="L88" s="1" t="s">
        <v>16</v>
      </c>
      <c r="M88">
        <v>37</v>
      </c>
      <c r="N88" s="1" t="str" cm="1">
        <f t="array" ref="N88">_xlfn.IFS(M88&lt;40, " Adult", M88&lt;60, "Middle Age", M88&gt;=60, "Older Adult")</f>
        <v xml:space="preserve"> Adult</v>
      </c>
      <c r="O88" s="1" t="s">
        <v>14</v>
      </c>
      <c r="P88" s="1">
        <f>IF(O88="Yes", 1)</f>
        <v>1</v>
      </c>
      <c r="Q88" s="1"/>
    </row>
    <row r="89" spans="1:17" x14ac:dyDescent="0.25">
      <c r="A89">
        <v>25529</v>
      </c>
      <c r="B89" s="1" t="s">
        <v>34</v>
      </c>
      <c r="C89" s="1" t="s">
        <v>32</v>
      </c>
      <c r="D89" s="2">
        <v>10000</v>
      </c>
      <c r="E89" s="2" t="str">
        <f>IF(bike_buyers[[#This Row],[Income]]&lt;40000,"Under 40K", IF(bike_buyers[[#This Row],[Income]]&lt;60000,"40K-59K", IF(bike_buyers[[#This Row],[Income]]&lt;80000,"60K-79K", IF(bike_buyers[[#This Row],[Income]]&lt;100000,"80K-99K","100K+"))))</f>
        <v>Under 40K</v>
      </c>
      <c r="F89">
        <v>1</v>
      </c>
      <c r="G89" s="1" t="s">
        <v>29</v>
      </c>
      <c r="H89" s="1" t="s">
        <v>24</v>
      </c>
      <c r="I89" s="1" t="s">
        <v>14</v>
      </c>
      <c r="J89">
        <v>0</v>
      </c>
      <c r="K89" s="1" t="s">
        <v>15</v>
      </c>
      <c r="L89" s="1" t="s">
        <v>16</v>
      </c>
      <c r="M89">
        <v>44</v>
      </c>
      <c r="N89" s="1" t="str" cm="1">
        <f t="array" ref="N89">_xlfn.IFS(M89&lt;40, " Adult", M89&lt;60, "Middle Age", M89&gt;=60, "Older Adult")</f>
        <v>Middle Age</v>
      </c>
      <c r="O89" s="1" t="s">
        <v>17</v>
      </c>
      <c r="P89" s="1" t="b">
        <f>IF(O89="Yes", 1)</f>
        <v>0</v>
      </c>
      <c r="Q89" s="1"/>
    </row>
    <row r="90" spans="1:17" x14ac:dyDescent="0.25">
      <c r="A90">
        <v>22170</v>
      </c>
      <c r="B90" s="1" t="s">
        <v>31</v>
      </c>
      <c r="C90" s="1" t="s">
        <v>33</v>
      </c>
      <c r="D90" s="2">
        <v>30000</v>
      </c>
      <c r="E90" s="2" t="str">
        <f>IF(bike_buyers[[#This Row],[Income]]&lt;40000,"Under 40K", IF(bike_buyers[[#This Row],[Income]]&lt;60000,"40K-59K", IF(bike_buyers[[#This Row],[Income]]&lt;80000,"60K-79K", IF(bike_buyers[[#This Row],[Income]]&lt;100000,"80K-99K","100K+"))))</f>
        <v>Under 40K</v>
      </c>
      <c r="F90">
        <v>3</v>
      </c>
      <c r="G90" s="1" t="s">
        <v>18</v>
      </c>
      <c r="H90" s="1" t="s">
        <v>19</v>
      </c>
      <c r="I90" s="1" t="s">
        <v>17</v>
      </c>
      <c r="J90">
        <v>2</v>
      </c>
      <c r="K90" s="1" t="s">
        <v>25</v>
      </c>
      <c r="L90" s="1" t="s">
        <v>23</v>
      </c>
      <c r="M90">
        <v>55</v>
      </c>
      <c r="N90" s="1" t="str" cm="1">
        <f t="array" ref="N90">_xlfn.IFS(M90&lt;40, " Adult", M90&lt;60, "Middle Age", M90&gt;=60, "Older Adult")</f>
        <v>Middle Age</v>
      </c>
      <c r="O90" s="1" t="s">
        <v>14</v>
      </c>
      <c r="P90" s="1">
        <f>IF(O90="Yes", 1)</f>
        <v>1</v>
      </c>
      <c r="Q90" s="1"/>
    </row>
    <row r="91" spans="1:17" x14ac:dyDescent="0.25">
      <c r="A91">
        <v>19445</v>
      </c>
      <c r="B91" s="1" t="s">
        <v>31</v>
      </c>
      <c r="C91" s="1" t="s">
        <v>33</v>
      </c>
      <c r="D91" s="2">
        <v>10000</v>
      </c>
      <c r="E91" s="2" t="str">
        <f>IF(bike_buyers[[#This Row],[Income]]&lt;40000,"Under 40K", IF(bike_buyers[[#This Row],[Income]]&lt;60000,"40K-59K", IF(bike_buyers[[#This Row],[Income]]&lt;80000,"60K-79K", IF(bike_buyers[[#This Row],[Income]]&lt;100000,"80K-99K","100K+"))))</f>
        <v>Under 40K</v>
      </c>
      <c r="F91">
        <v>2</v>
      </c>
      <c r="G91" s="1" t="s">
        <v>26</v>
      </c>
      <c r="H91" s="1" t="s">
        <v>24</v>
      </c>
      <c r="I91" s="1" t="s">
        <v>17</v>
      </c>
      <c r="J91">
        <v>1</v>
      </c>
      <c r="K91" s="1" t="s">
        <v>15</v>
      </c>
      <c r="L91" s="1" t="s">
        <v>16</v>
      </c>
      <c r="M91">
        <v>38</v>
      </c>
      <c r="N91" s="1" t="str" cm="1">
        <f t="array" ref="N91">_xlfn.IFS(M91&lt;40, " Adult", M91&lt;60, "Middle Age", M91&gt;=60, "Older Adult")</f>
        <v xml:space="preserve"> Adult</v>
      </c>
      <c r="O91" s="1" t="s">
        <v>17</v>
      </c>
      <c r="P91" s="1" t="b">
        <f>IF(O91="Yes", 1)</f>
        <v>0</v>
      </c>
      <c r="Q91" s="1"/>
    </row>
    <row r="92" spans="1:17" x14ac:dyDescent="0.25">
      <c r="A92">
        <v>11047</v>
      </c>
      <c r="B92" s="1" t="s">
        <v>31</v>
      </c>
      <c r="C92" s="1" t="s">
        <v>33</v>
      </c>
      <c r="D92" s="2">
        <v>30000</v>
      </c>
      <c r="E92" s="2" t="str">
        <f>IF(bike_buyers[[#This Row],[Income]]&lt;40000,"Under 40K", IF(bike_buyers[[#This Row],[Income]]&lt;60000,"40K-59K", IF(bike_buyers[[#This Row],[Income]]&lt;80000,"60K-79K", IF(bike_buyers[[#This Row],[Income]]&lt;100000,"80K-99K","100K+"))))</f>
        <v>Under 40K</v>
      </c>
      <c r="F92">
        <v>3</v>
      </c>
      <c r="G92" s="1" t="s">
        <v>26</v>
      </c>
      <c r="H92" s="1" t="s">
        <v>13</v>
      </c>
      <c r="I92" s="1" t="s">
        <v>17</v>
      </c>
      <c r="J92">
        <v>2</v>
      </c>
      <c r="K92" s="1" t="s">
        <v>25</v>
      </c>
      <c r="L92" s="1" t="s">
        <v>23</v>
      </c>
      <c r="M92">
        <v>56</v>
      </c>
      <c r="N92" s="1" t="str" cm="1">
        <f t="array" ref="N92">_xlfn.IFS(M92&lt;40, " Adult", M92&lt;60, "Middle Age", M92&gt;=60, "Older Adult")</f>
        <v>Middle Age</v>
      </c>
      <c r="O92" s="1" t="s">
        <v>14</v>
      </c>
      <c r="P92" s="1">
        <f>IF(O92="Yes", 1)</f>
        <v>1</v>
      </c>
      <c r="Q92" s="1"/>
    </row>
    <row r="93" spans="1:17" x14ac:dyDescent="0.25">
      <c r="A93">
        <v>19482</v>
      </c>
      <c r="B93" s="1" t="s">
        <v>31</v>
      </c>
      <c r="C93" s="1" t="s">
        <v>32</v>
      </c>
      <c r="D93" s="2">
        <v>30000</v>
      </c>
      <c r="E93" s="2" t="str">
        <f>IF(bike_buyers[[#This Row],[Income]]&lt;40000,"Under 40K", IF(bike_buyers[[#This Row],[Income]]&lt;60000,"40K-59K", IF(bike_buyers[[#This Row],[Income]]&lt;80000,"60K-79K", IF(bike_buyers[[#This Row],[Income]]&lt;100000,"80K-99K","100K+"))))</f>
        <v>Under 40K</v>
      </c>
      <c r="F93">
        <v>1</v>
      </c>
      <c r="G93" s="1" t="s">
        <v>18</v>
      </c>
      <c r="H93" s="1" t="s">
        <v>19</v>
      </c>
      <c r="I93" s="1" t="s">
        <v>14</v>
      </c>
      <c r="J93">
        <v>1</v>
      </c>
      <c r="K93" s="1" t="s">
        <v>15</v>
      </c>
      <c r="L93" s="1" t="s">
        <v>16</v>
      </c>
      <c r="M93">
        <v>44</v>
      </c>
      <c r="N93" s="1" t="str" cm="1">
        <f t="array" ref="N93">_xlfn.IFS(M93&lt;40, " Adult", M93&lt;60, "Middle Age", M93&gt;=60, "Older Adult")</f>
        <v>Middle Age</v>
      </c>
      <c r="O93" s="1" t="s">
        <v>14</v>
      </c>
      <c r="P93" s="1">
        <f>IF(O93="Yes", 1)</f>
        <v>1</v>
      </c>
      <c r="Q93" s="1"/>
    </row>
    <row r="94" spans="1:17" x14ac:dyDescent="0.25">
      <c r="A94">
        <v>16489</v>
      </c>
      <c r="B94" s="1" t="s">
        <v>31</v>
      </c>
      <c r="C94" s="1" t="s">
        <v>32</v>
      </c>
      <c r="D94" s="2">
        <v>30000</v>
      </c>
      <c r="E94" s="2" t="str">
        <f>IF(bike_buyers[[#This Row],[Income]]&lt;40000,"Under 40K", IF(bike_buyers[[#This Row],[Income]]&lt;60000,"40K-59K", IF(bike_buyers[[#This Row],[Income]]&lt;80000,"60K-79K", IF(bike_buyers[[#This Row],[Income]]&lt;100000,"80K-99K","100K+"))))</f>
        <v>Under 40K</v>
      </c>
      <c r="F94">
        <v>3</v>
      </c>
      <c r="G94" s="1" t="s">
        <v>26</v>
      </c>
      <c r="H94" s="1" t="s">
        <v>13</v>
      </c>
      <c r="I94" s="1" t="s">
        <v>14</v>
      </c>
      <c r="J94">
        <v>2</v>
      </c>
      <c r="K94" s="1" t="s">
        <v>22</v>
      </c>
      <c r="L94" s="1" t="s">
        <v>23</v>
      </c>
      <c r="M94">
        <v>55</v>
      </c>
      <c r="N94" s="1" t="str" cm="1">
        <f t="array" ref="N94">_xlfn.IFS(M94&lt;40, " Adult", M94&lt;60, "Middle Age", M94&gt;=60, "Older Adult")</f>
        <v>Middle Age</v>
      </c>
      <c r="O94" s="1" t="s">
        <v>17</v>
      </c>
      <c r="P94" s="1" t="b">
        <f>IF(O94="Yes", 1)</f>
        <v>0</v>
      </c>
      <c r="Q94" s="1"/>
    </row>
    <row r="95" spans="1:17" x14ac:dyDescent="0.25">
      <c r="A95">
        <v>17843</v>
      </c>
      <c r="B95" s="1" t="s">
        <v>34</v>
      </c>
      <c r="C95" s="1" t="s">
        <v>33</v>
      </c>
      <c r="D95" s="2">
        <v>10000</v>
      </c>
      <c r="E95" s="2" t="str">
        <f>IF(bike_buyers[[#This Row],[Income]]&lt;40000,"Under 40K", IF(bike_buyers[[#This Row],[Income]]&lt;60000,"40K-59K", IF(bike_buyers[[#This Row],[Income]]&lt;80000,"60K-79K", IF(bike_buyers[[#This Row],[Income]]&lt;100000,"80K-99K","100K+"))))</f>
        <v>Under 40K</v>
      </c>
      <c r="F95">
        <v>0</v>
      </c>
      <c r="G95" s="1" t="s">
        <v>28</v>
      </c>
      <c r="H95" s="1" t="s">
        <v>24</v>
      </c>
      <c r="I95" s="1" t="s">
        <v>17</v>
      </c>
      <c r="J95">
        <v>2</v>
      </c>
      <c r="K95" s="1" t="s">
        <v>15</v>
      </c>
      <c r="L95" s="1" t="s">
        <v>16</v>
      </c>
      <c r="M95">
        <v>32</v>
      </c>
      <c r="N95" s="1" t="str" cm="1">
        <f t="array" ref="N95">_xlfn.IFS(M95&lt;40, " Adult", M95&lt;60, "Middle Age", M95&gt;=60, "Older Adult")</f>
        <v xml:space="preserve"> Adult</v>
      </c>
      <c r="O95" s="1" t="s">
        <v>17</v>
      </c>
      <c r="P95" s="1" t="b">
        <f>IF(O95="Yes", 1)</f>
        <v>0</v>
      </c>
      <c r="Q95" s="1"/>
    </row>
    <row r="96" spans="1:17" x14ac:dyDescent="0.25">
      <c r="A96">
        <v>25559</v>
      </c>
      <c r="B96" s="1" t="s">
        <v>34</v>
      </c>
      <c r="C96" s="1" t="s">
        <v>32</v>
      </c>
      <c r="D96" s="2">
        <v>20000</v>
      </c>
      <c r="E96" s="2" t="str">
        <f>IF(bike_buyers[[#This Row],[Income]]&lt;40000,"Under 40K", IF(bike_buyers[[#This Row],[Income]]&lt;60000,"40K-59K", IF(bike_buyers[[#This Row],[Income]]&lt;80000,"60K-79K", IF(bike_buyers[[#This Row],[Income]]&lt;100000,"80K-99K","100K+"))))</f>
        <v>Under 40K</v>
      </c>
      <c r="F96">
        <v>0</v>
      </c>
      <c r="G96" s="1" t="s">
        <v>12</v>
      </c>
      <c r="H96" s="1" t="s">
        <v>19</v>
      </c>
      <c r="I96" s="1" t="s">
        <v>14</v>
      </c>
      <c r="J96">
        <v>0</v>
      </c>
      <c r="K96" s="1" t="s">
        <v>15</v>
      </c>
      <c r="L96" s="1" t="s">
        <v>23</v>
      </c>
      <c r="M96">
        <v>25</v>
      </c>
      <c r="N96" s="1" t="str" cm="1">
        <f t="array" ref="N96">_xlfn.IFS(M96&lt;40, " Adult", M96&lt;60, "Middle Age", M96&gt;=60, "Older Adult")</f>
        <v xml:space="preserve"> Adult</v>
      </c>
      <c r="O96" s="1" t="s">
        <v>14</v>
      </c>
      <c r="P96" s="1">
        <f>IF(O96="Yes", 1)</f>
        <v>1</v>
      </c>
      <c r="Q96" s="1"/>
    </row>
    <row r="97" spans="1:17" x14ac:dyDescent="0.25">
      <c r="A97">
        <v>12585</v>
      </c>
      <c r="B97" s="1" t="s">
        <v>31</v>
      </c>
      <c r="C97" s="1" t="s">
        <v>32</v>
      </c>
      <c r="D97" s="2">
        <v>10000</v>
      </c>
      <c r="E97" s="2" t="str">
        <f>IF(bike_buyers[[#This Row],[Income]]&lt;40000,"Under 40K", IF(bike_buyers[[#This Row],[Income]]&lt;60000,"40K-59K", IF(bike_buyers[[#This Row],[Income]]&lt;80000,"60K-79K", IF(bike_buyers[[#This Row],[Income]]&lt;100000,"80K-99K","100K+"))))</f>
        <v>Under 40K</v>
      </c>
      <c r="F97">
        <v>1</v>
      </c>
      <c r="G97" s="1" t="s">
        <v>26</v>
      </c>
      <c r="H97" s="1" t="s">
        <v>24</v>
      </c>
      <c r="I97" s="1" t="s">
        <v>14</v>
      </c>
      <c r="J97">
        <v>0</v>
      </c>
      <c r="K97" s="1" t="s">
        <v>21</v>
      </c>
      <c r="L97" s="1" t="s">
        <v>23</v>
      </c>
      <c r="M97">
        <v>27</v>
      </c>
      <c r="N97" s="1" t="str" cm="1">
        <f t="array" ref="N97">_xlfn.IFS(M97&lt;40, " Adult", M97&lt;60, "Middle Age", M97&gt;=60, "Older Adult")</f>
        <v xml:space="preserve"> Adult</v>
      </c>
      <c r="O97" s="1" t="s">
        <v>14</v>
      </c>
      <c r="P97" s="1">
        <f>IF(O97="Yes", 1)</f>
        <v>1</v>
      </c>
      <c r="Q97" s="1"/>
    </row>
    <row r="98" spans="1:17" x14ac:dyDescent="0.25">
      <c r="A98">
        <v>15657</v>
      </c>
      <c r="B98" s="1" t="s">
        <v>31</v>
      </c>
      <c r="C98" s="1" t="s">
        <v>32</v>
      </c>
      <c r="D98" s="2">
        <v>30000</v>
      </c>
      <c r="E98" s="2" t="str">
        <f>IF(bike_buyers[[#This Row],[Income]]&lt;40000,"Under 40K", IF(bike_buyers[[#This Row],[Income]]&lt;60000,"40K-59K", IF(bike_buyers[[#This Row],[Income]]&lt;80000,"60K-79K", IF(bike_buyers[[#This Row],[Income]]&lt;100000,"80K-99K","100K+"))))</f>
        <v>Under 40K</v>
      </c>
      <c r="F98">
        <v>3</v>
      </c>
      <c r="G98" s="1" t="s">
        <v>29</v>
      </c>
      <c r="H98" s="1" t="s">
        <v>19</v>
      </c>
      <c r="I98" s="1" t="s">
        <v>14</v>
      </c>
      <c r="J98">
        <v>0</v>
      </c>
      <c r="K98" s="1" t="s">
        <v>15</v>
      </c>
      <c r="L98" s="1" t="s">
        <v>16</v>
      </c>
      <c r="M98">
        <v>46</v>
      </c>
      <c r="N98" s="1" t="str" cm="1">
        <f t="array" ref="N98">_xlfn.IFS(M98&lt;40, " Adult", M98&lt;60, "Middle Age", M98&gt;=60, "Older Adult")</f>
        <v>Middle Age</v>
      </c>
      <c r="O98" s="1" t="s">
        <v>14</v>
      </c>
      <c r="P98" s="1">
        <f>IF(O98="Yes", 1)</f>
        <v>1</v>
      </c>
      <c r="Q98" s="1"/>
    </row>
    <row r="99" spans="1:17" x14ac:dyDescent="0.25">
      <c r="A99">
        <v>28729</v>
      </c>
      <c r="B99" s="1" t="s">
        <v>34</v>
      </c>
      <c r="C99" s="1" t="s">
        <v>33</v>
      </c>
      <c r="D99" s="2">
        <v>20000</v>
      </c>
      <c r="E99" s="2" t="str">
        <f>IF(bike_buyers[[#This Row],[Income]]&lt;40000,"Under 40K", IF(bike_buyers[[#This Row],[Income]]&lt;60000,"40K-59K", IF(bike_buyers[[#This Row],[Income]]&lt;80000,"60K-79K", IF(bike_buyers[[#This Row],[Income]]&lt;100000,"80K-99K","100K+"))))</f>
        <v>Under 40K</v>
      </c>
      <c r="F99">
        <v>0</v>
      </c>
      <c r="G99" s="1" t="s">
        <v>28</v>
      </c>
      <c r="H99" s="1" t="s">
        <v>24</v>
      </c>
      <c r="I99" s="1" t="s">
        <v>14</v>
      </c>
      <c r="J99">
        <v>2</v>
      </c>
      <c r="K99" s="1" t="s">
        <v>25</v>
      </c>
      <c r="L99" s="1" t="s">
        <v>16</v>
      </c>
      <c r="M99">
        <v>26</v>
      </c>
      <c r="N99" s="1" t="str" cm="1">
        <f t="array" ref="N99">_xlfn.IFS(M99&lt;40, " Adult", M99&lt;60, "Middle Age", M99&gt;=60, "Older Adult")</f>
        <v xml:space="preserve"> Adult</v>
      </c>
      <c r="O99" s="1" t="s">
        <v>14</v>
      </c>
      <c r="P99" s="1">
        <f>IF(O99="Yes", 1)</f>
        <v>1</v>
      </c>
      <c r="Q99" s="1"/>
    </row>
    <row r="100" spans="1:17" x14ac:dyDescent="0.25">
      <c r="A100">
        <v>25649</v>
      </c>
      <c r="B100" s="1" t="s">
        <v>34</v>
      </c>
      <c r="C100" s="1" t="s">
        <v>33</v>
      </c>
      <c r="D100" s="2">
        <v>30000</v>
      </c>
      <c r="E100" s="2" t="str">
        <f>IF(bike_buyers[[#This Row],[Income]]&lt;40000,"Under 40K", IF(bike_buyers[[#This Row],[Income]]&lt;60000,"40K-59K", IF(bike_buyers[[#This Row],[Income]]&lt;80000,"60K-79K", IF(bike_buyers[[#This Row],[Income]]&lt;100000,"80K-99K","100K+"))))</f>
        <v>Under 40K</v>
      </c>
      <c r="F100">
        <v>3</v>
      </c>
      <c r="G100" s="1" t="s">
        <v>18</v>
      </c>
      <c r="H100" s="1" t="s">
        <v>19</v>
      </c>
      <c r="I100" s="1" t="s">
        <v>14</v>
      </c>
      <c r="J100">
        <v>0</v>
      </c>
      <c r="K100" s="1" t="s">
        <v>15</v>
      </c>
      <c r="L100" s="1" t="s">
        <v>16</v>
      </c>
      <c r="M100">
        <v>42</v>
      </c>
      <c r="N100" s="1" t="str" cm="1">
        <f t="array" ref="N100">_xlfn.IFS(M100&lt;40, " Adult", M100&lt;60, "Middle Age", M100&gt;=60, "Older Adult")</f>
        <v>Middle Age</v>
      </c>
      <c r="O100" s="1" t="s">
        <v>14</v>
      </c>
      <c r="P100" s="1">
        <f>IF(O100="Yes", 1)</f>
        <v>1</v>
      </c>
      <c r="Q100" s="1"/>
    </row>
    <row r="101" spans="1:17" x14ac:dyDescent="0.25">
      <c r="A101">
        <v>20946</v>
      </c>
      <c r="B101" s="1" t="s">
        <v>34</v>
      </c>
      <c r="C101" s="1" t="s">
        <v>33</v>
      </c>
      <c r="D101" s="2">
        <v>30000</v>
      </c>
      <c r="E101" s="2" t="str">
        <f>IF(bike_buyers[[#This Row],[Income]]&lt;40000,"Under 40K", IF(bike_buyers[[#This Row],[Income]]&lt;60000,"40K-59K", IF(bike_buyers[[#This Row],[Income]]&lt;80000,"60K-79K", IF(bike_buyers[[#This Row],[Income]]&lt;100000,"80K-99K","100K+"))))</f>
        <v>Under 40K</v>
      </c>
      <c r="F101">
        <v>0</v>
      </c>
      <c r="G101" s="1" t="s">
        <v>18</v>
      </c>
      <c r="H101" s="1" t="s">
        <v>19</v>
      </c>
      <c r="I101" s="1" t="s">
        <v>17</v>
      </c>
      <c r="J101">
        <v>1</v>
      </c>
      <c r="K101" s="1" t="s">
        <v>21</v>
      </c>
      <c r="L101" s="1" t="s">
        <v>16</v>
      </c>
      <c r="M101">
        <v>30</v>
      </c>
      <c r="N101" s="1" t="str" cm="1">
        <f t="array" ref="N101">_xlfn.IFS(M101&lt;40, " Adult", M101&lt;60, "Middle Age", M101&gt;=60, "Older Adult")</f>
        <v xml:space="preserve"> Adult</v>
      </c>
      <c r="O101" s="1" t="s">
        <v>17</v>
      </c>
      <c r="P101" s="1" t="b">
        <f>IF(O101="Yes", 1)</f>
        <v>0</v>
      </c>
      <c r="Q101" s="1"/>
    </row>
    <row r="102" spans="1:17" x14ac:dyDescent="0.25">
      <c r="A102">
        <v>25553</v>
      </c>
      <c r="B102" s="1" t="s">
        <v>31</v>
      </c>
      <c r="C102" s="1" t="s">
        <v>32</v>
      </c>
      <c r="D102" s="2">
        <v>30000</v>
      </c>
      <c r="E102" s="2" t="str">
        <f>IF(bike_buyers[[#This Row],[Income]]&lt;40000,"Under 40K", IF(bike_buyers[[#This Row],[Income]]&lt;60000,"40K-59K", IF(bike_buyers[[#This Row],[Income]]&lt;80000,"60K-79K", IF(bike_buyers[[#This Row],[Income]]&lt;100000,"80K-99K","100K+"))))</f>
        <v>Under 40K</v>
      </c>
      <c r="F102">
        <v>1</v>
      </c>
      <c r="G102" s="1" t="s">
        <v>12</v>
      </c>
      <c r="H102" s="1" t="s">
        <v>19</v>
      </c>
      <c r="I102" s="1" t="s">
        <v>14</v>
      </c>
      <c r="J102">
        <v>0</v>
      </c>
      <c r="K102" s="1" t="s">
        <v>15</v>
      </c>
      <c r="L102" s="1" t="s">
        <v>16</v>
      </c>
      <c r="M102">
        <v>65</v>
      </c>
      <c r="N102" s="1" t="str" cm="1">
        <f t="array" ref="N102">_xlfn.IFS(M102&lt;40, " Adult", M102&lt;60, "Middle Age", M102&gt;=60, "Older Adult")</f>
        <v>Older Adult</v>
      </c>
      <c r="O102" s="1" t="s">
        <v>14</v>
      </c>
      <c r="P102" s="1">
        <f>IF(O102="Yes", 1)</f>
        <v>1</v>
      </c>
      <c r="Q102" s="1"/>
    </row>
    <row r="103" spans="1:17" x14ac:dyDescent="0.25">
      <c r="A103">
        <v>25026</v>
      </c>
      <c r="B103" s="1" t="s">
        <v>31</v>
      </c>
      <c r="C103" s="1" t="s">
        <v>32</v>
      </c>
      <c r="D103" s="2">
        <v>20000</v>
      </c>
      <c r="E103" s="2" t="str">
        <f>IF(bike_buyers[[#This Row],[Income]]&lt;40000,"Under 40K", IF(bike_buyers[[#This Row],[Income]]&lt;60000,"40K-59K", IF(bike_buyers[[#This Row],[Income]]&lt;80000,"60K-79K", IF(bike_buyers[[#This Row],[Income]]&lt;100000,"80K-99K","100K+"))))</f>
        <v>Under 40K</v>
      </c>
      <c r="F103">
        <v>2</v>
      </c>
      <c r="G103" s="1" t="s">
        <v>28</v>
      </c>
      <c r="H103" s="1" t="s">
        <v>19</v>
      </c>
      <c r="I103" s="1" t="s">
        <v>14</v>
      </c>
      <c r="J103">
        <v>3</v>
      </c>
      <c r="K103" s="1" t="s">
        <v>22</v>
      </c>
      <c r="L103" s="1" t="s">
        <v>23</v>
      </c>
      <c r="M103">
        <v>54</v>
      </c>
      <c r="N103" s="1" t="str" cm="1">
        <f t="array" ref="N103">_xlfn.IFS(M103&lt;40, " Adult", M103&lt;60, "Middle Age", M103&gt;=60, "Older Adult")</f>
        <v>Middle Age</v>
      </c>
      <c r="O103" s="1" t="s">
        <v>17</v>
      </c>
      <c r="P103" s="1" t="b">
        <f>IF(O103="Yes", 1)</f>
        <v>0</v>
      </c>
      <c r="Q103" s="1"/>
    </row>
    <row r="104" spans="1:17" x14ac:dyDescent="0.25">
      <c r="A104">
        <v>13673</v>
      </c>
      <c r="B104" s="1" t="s">
        <v>34</v>
      </c>
      <c r="C104" s="1" t="s">
        <v>33</v>
      </c>
      <c r="D104" s="2">
        <v>20000</v>
      </c>
      <c r="E104" s="2" t="str">
        <f>IF(bike_buyers[[#This Row],[Income]]&lt;40000,"Under 40K", IF(bike_buyers[[#This Row],[Income]]&lt;60000,"40K-59K", IF(bike_buyers[[#This Row],[Income]]&lt;80000,"60K-79K", IF(bike_buyers[[#This Row],[Income]]&lt;100000,"80K-99K","100K+"))))</f>
        <v>Under 40K</v>
      </c>
      <c r="F104">
        <v>0</v>
      </c>
      <c r="G104" s="1" t="s">
        <v>28</v>
      </c>
      <c r="H104" s="1" t="s">
        <v>24</v>
      </c>
      <c r="I104" s="1" t="s">
        <v>17</v>
      </c>
      <c r="J104">
        <v>2</v>
      </c>
      <c r="K104" s="1" t="s">
        <v>15</v>
      </c>
      <c r="L104" s="1" t="s">
        <v>16</v>
      </c>
      <c r="M104">
        <v>25</v>
      </c>
      <c r="N104" s="1" t="str" cm="1">
        <f t="array" ref="N104">_xlfn.IFS(M104&lt;40, " Adult", M104&lt;60, "Middle Age", M104&gt;=60, "Older Adult")</f>
        <v xml:space="preserve"> Adult</v>
      </c>
      <c r="O104" s="1" t="s">
        <v>17</v>
      </c>
      <c r="P104" s="1" t="b">
        <f>IF(O104="Yes", 1)</f>
        <v>0</v>
      </c>
      <c r="Q104" s="1"/>
    </row>
    <row r="105" spans="1:17" x14ac:dyDescent="0.25">
      <c r="A105">
        <v>16043</v>
      </c>
      <c r="B105" s="1" t="s">
        <v>34</v>
      </c>
      <c r="C105" s="1" t="s">
        <v>32</v>
      </c>
      <c r="D105" s="2">
        <v>10000</v>
      </c>
      <c r="E105" s="2" t="str">
        <f>IF(bike_buyers[[#This Row],[Income]]&lt;40000,"Under 40K", IF(bike_buyers[[#This Row],[Income]]&lt;60000,"40K-59K", IF(bike_buyers[[#This Row],[Income]]&lt;80000,"60K-79K", IF(bike_buyers[[#This Row],[Income]]&lt;100000,"80K-99K","100K+"))))</f>
        <v>Under 40K</v>
      </c>
      <c r="F105">
        <v>1</v>
      </c>
      <c r="G105" s="1" t="s">
        <v>12</v>
      </c>
      <c r="H105" s="1" t="s">
        <v>24</v>
      </c>
      <c r="I105" s="1" t="s">
        <v>14</v>
      </c>
      <c r="J105">
        <v>0</v>
      </c>
      <c r="K105" s="1" t="s">
        <v>15</v>
      </c>
      <c r="L105" s="1" t="s">
        <v>16</v>
      </c>
      <c r="M105">
        <v>48</v>
      </c>
      <c r="N105" s="1" t="str" cm="1">
        <f t="array" ref="N105">_xlfn.IFS(M105&lt;40, " Adult", M105&lt;60, "Middle Age", M105&gt;=60, "Older Adult")</f>
        <v>Middle Age</v>
      </c>
      <c r="O105" s="1" t="s">
        <v>17</v>
      </c>
      <c r="P105" s="1" t="b">
        <f>IF(O105="Yes", 1)</f>
        <v>0</v>
      </c>
      <c r="Q105" s="1"/>
    </row>
    <row r="106" spans="1:17" x14ac:dyDescent="0.25">
      <c r="A106">
        <v>22399</v>
      </c>
      <c r="B106" s="1" t="s">
        <v>34</v>
      </c>
      <c r="C106" s="1" t="s">
        <v>32</v>
      </c>
      <c r="D106" s="2">
        <v>10000</v>
      </c>
      <c r="E106" s="2" t="str">
        <f>IF(bike_buyers[[#This Row],[Income]]&lt;40000,"Under 40K", IF(bike_buyers[[#This Row],[Income]]&lt;60000,"40K-59K", IF(bike_buyers[[#This Row],[Income]]&lt;80000,"60K-79K", IF(bike_buyers[[#This Row],[Income]]&lt;100000,"80K-99K","100K+"))))</f>
        <v>Under 40K</v>
      </c>
      <c r="F106">
        <v>0</v>
      </c>
      <c r="G106" s="1" t="s">
        <v>18</v>
      </c>
      <c r="H106" s="1" t="s">
        <v>24</v>
      </c>
      <c r="I106" s="1" t="s">
        <v>14</v>
      </c>
      <c r="J106">
        <v>1</v>
      </c>
      <c r="K106" s="1" t="s">
        <v>25</v>
      </c>
      <c r="L106" s="1" t="s">
        <v>23</v>
      </c>
      <c r="M106">
        <v>26</v>
      </c>
      <c r="N106" s="1" t="str" cm="1">
        <f t="array" ref="N106">_xlfn.IFS(M106&lt;40, " Adult", M106&lt;60, "Middle Age", M106&gt;=60, "Older Adult")</f>
        <v xml:space="preserve"> Adult</v>
      </c>
      <c r="O106" s="1" t="s">
        <v>14</v>
      </c>
      <c r="P106" s="1">
        <f>IF(O106="Yes", 1)</f>
        <v>1</v>
      </c>
      <c r="Q106" s="1"/>
    </row>
    <row r="107" spans="1:17" x14ac:dyDescent="0.25">
      <c r="A107">
        <v>25313</v>
      </c>
      <c r="B107" s="1" t="s">
        <v>34</v>
      </c>
      <c r="C107" s="1" t="s">
        <v>32</v>
      </c>
      <c r="D107" s="2">
        <v>10000</v>
      </c>
      <c r="E107" s="2" t="str">
        <f>IF(bike_buyers[[#This Row],[Income]]&lt;40000,"Under 40K", IF(bike_buyers[[#This Row],[Income]]&lt;60000,"40K-59K", IF(bike_buyers[[#This Row],[Income]]&lt;80000,"60K-79K", IF(bike_buyers[[#This Row],[Income]]&lt;100000,"80K-99K","100K+"))))</f>
        <v>Under 40K</v>
      </c>
      <c r="F107">
        <v>0</v>
      </c>
      <c r="G107" s="1" t="s">
        <v>28</v>
      </c>
      <c r="H107" s="1" t="s">
        <v>24</v>
      </c>
      <c r="I107" s="1" t="s">
        <v>17</v>
      </c>
      <c r="J107">
        <v>2</v>
      </c>
      <c r="K107" s="1" t="s">
        <v>25</v>
      </c>
      <c r="L107" s="1" t="s">
        <v>16</v>
      </c>
      <c r="M107">
        <v>35</v>
      </c>
      <c r="N107" s="1" t="str" cm="1">
        <f t="array" ref="N107">_xlfn.IFS(M107&lt;40, " Adult", M107&lt;60, "Middle Age", M107&gt;=60, "Older Adult")</f>
        <v xml:space="preserve"> Adult</v>
      </c>
      <c r="O107" s="1" t="s">
        <v>17</v>
      </c>
      <c r="P107" s="1" t="b">
        <f>IF(O107="Yes", 1)</f>
        <v>0</v>
      </c>
      <c r="Q107" s="1"/>
    </row>
    <row r="108" spans="1:17" x14ac:dyDescent="0.25">
      <c r="A108">
        <v>13813</v>
      </c>
      <c r="B108" s="1" t="s">
        <v>31</v>
      </c>
      <c r="C108" s="1" t="s">
        <v>33</v>
      </c>
      <c r="D108" s="2">
        <v>30000</v>
      </c>
      <c r="E108" s="2" t="str">
        <f>IF(bike_buyers[[#This Row],[Income]]&lt;40000,"Under 40K", IF(bike_buyers[[#This Row],[Income]]&lt;60000,"40K-59K", IF(bike_buyers[[#This Row],[Income]]&lt;80000,"60K-79K", IF(bike_buyers[[#This Row],[Income]]&lt;100000,"80K-99K","100K+"))))</f>
        <v>Under 40K</v>
      </c>
      <c r="F108">
        <v>3</v>
      </c>
      <c r="G108" s="1" t="s">
        <v>18</v>
      </c>
      <c r="H108" s="1" t="s">
        <v>19</v>
      </c>
      <c r="I108" s="1" t="s">
        <v>17</v>
      </c>
      <c r="J108">
        <v>0</v>
      </c>
      <c r="K108" s="1" t="s">
        <v>15</v>
      </c>
      <c r="L108" s="1" t="s">
        <v>16</v>
      </c>
      <c r="M108">
        <v>42</v>
      </c>
      <c r="N108" s="1" t="str" cm="1">
        <f t="array" ref="N108">_xlfn.IFS(M108&lt;40, " Adult", M108&lt;60, "Middle Age", M108&gt;=60, "Older Adult")</f>
        <v>Middle Age</v>
      </c>
      <c r="O108" s="1" t="s">
        <v>17</v>
      </c>
      <c r="P108" s="1" t="b">
        <f>IF(O108="Yes", 1)</f>
        <v>0</v>
      </c>
      <c r="Q108" s="1"/>
    </row>
    <row r="109" spans="1:17" x14ac:dyDescent="0.25">
      <c r="A109">
        <v>19650</v>
      </c>
      <c r="B109" s="1" t="s">
        <v>31</v>
      </c>
      <c r="C109" s="1" t="s">
        <v>33</v>
      </c>
      <c r="D109" s="2">
        <v>30000</v>
      </c>
      <c r="E109" s="2" t="str">
        <f>IF(bike_buyers[[#This Row],[Income]]&lt;40000,"Under 40K", IF(bike_buyers[[#This Row],[Income]]&lt;60000,"40K-59K", IF(bike_buyers[[#This Row],[Income]]&lt;80000,"60K-79K", IF(bike_buyers[[#This Row],[Income]]&lt;100000,"80K-99K","100K+"))))</f>
        <v>Under 40K</v>
      </c>
      <c r="F109">
        <v>2</v>
      </c>
      <c r="G109" s="1" t="s">
        <v>18</v>
      </c>
      <c r="H109" s="1" t="s">
        <v>19</v>
      </c>
      <c r="I109" s="1" t="s">
        <v>17</v>
      </c>
      <c r="J109">
        <v>2</v>
      </c>
      <c r="K109" s="1" t="s">
        <v>15</v>
      </c>
      <c r="L109" s="1" t="s">
        <v>23</v>
      </c>
      <c r="M109">
        <v>67</v>
      </c>
      <c r="N109" s="1" t="str" cm="1">
        <f t="array" ref="N109">_xlfn.IFS(M109&lt;40, " Adult", M109&lt;60, "Middle Age", M109&gt;=60, "Older Adult")</f>
        <v>Older Adult</v>
      </c>
      <c r="O109" s="1" t="s">
        <v>17</v>
      </c>
      <c r="P109" s="1" t="b">
        <f>IF(O109="Yes", 1)</f>
        <v>0</v>
      </c>
      <c r="Q109" s="1"/>
    </row>
    <row r="110" spans="1:17" x14ac:dyDescent="0.25">
      <c r="A110">
        <v>14135</v>
      </c>
      <c r="B110" s="1" t="s">
        <v>31</v>
      </c>
      <c r="C110" s="1" t="s">
        <v>32</v>
      </c>
      <c r="D110" s="2">
        <v>20000</v>
      </c>
      <c r="E110" s="2" t="str">
        <f>IF(bike_buyers[[#This Row],[Income]]&lt;40000,"Under 40K", IF(bike_buyers[[#This Row],[Income]]&lt;60000,"40K-59K", IF(bike_buyers[[#This Row],[Income]]&lt;80000,"60K-79K", IF(bike_buyers[[#This Row],[Income]]&lt;100000,"80K-99K","100K+"))))</f>
        <v>Under 40K</v>
      </c>
      <c r="F110">
        <v>1</v>
      </c>
      <c r="G110" s="1" t="s">
        <v>18</v>
      </c>
      <c r="H110" s="1" t="s">
        <v>24</v>
      </c>
      <c r="I110" s="1" t="s">
        <v>14</v>
      </c>
      <c r="J110">
        <v>0</v>
      </c>
      <c r="K110" s="1" t="s">
        <v>25</v>
      </c>
      <c r="L110" s="1" t="s">
        <v>16</v>
      </c>
      <c r="M110">
        <v>35</v>
      </c>
      <c r="N110" s="1" t="str" cm="1">
        <f t="array" ref="N110">_xlfn.IFS(M110&lt;40, " Adult", M110&lt;60, "Middle Age", M110&gt;=60, "Older Adult")</f>
        <v xml:space="preserve"> Adult</v>
      </c>
      <c r="O110" s="1" t="s">
        <v>17</v>
      </c>
      <c r="P110" s="1" t="b">
        <f>IF(O110="Yes", 1)</f>
        <v>0</v>
      </c>
      <c r="Q110" s="1"/>
    </row>
    <row r="111" spans="1:17" x14ac:dyDescent="0.25">
      <c r="A111">
        <v>12833</v>
      </c>
      <c r="B111" s="1" t="s">
        <v>34</v>
      </c>
      <c r="C111" s="1" t="s">
        <v>33</v>
      </c>
      <c r="D111" s="2">
        <v>20000</v>
      </c>
      <c r="E111" s="2" t="str">
        <f>IF(bike_buyers[[#This Row],[Income]]&lt;40000,"Under 40K", IF(bike_buyers[[#This Row],[Income]]&lt;60000,"40K-59K", IF(bike_buyers[[#This Row],[Income]]&lt;80000,"60K-79K", IF(bike_buyers[[#This Row],[Income]]&lt;100000,"80K-99K","100K+"))))</f>
        <v>Under 40K</v>
      </c>
      <c r="F111">
        <v>3</v>
      </c>
      <c r="G111" s="1" t="s">
        <v>26</v>
      </c>
      <c r="H111" s="1" t="s">
        <v>24</v>
      </c>
      <c r="I111" s="1" t="s">
        <v>14</v>
      </c>
      <c r="J111">
        <v>1</v>
      </c>
      <c r="K111" s="1" t="s">
        <v>15</v>
      </c>
      <c r="L111" s="1" t="s">
        <v>16</v>
      </c>
      <c r="M111">
        <v>42</v>
      </c>
      <c r="N111" s="1" t="str" cm="1">
        <f t="array" ref="N111">_xlfn.IFS(M111&lt;40, " Adult", M111&lt;60, "Middle Age", M111&gt;=60, "Older Adult")</f>
        <v>Middle Age</v>
      </c>
      <c r="O111" s="1" t="s">
        <v>14</v>
      </c>
      <c r="P111" s="1">
        <f>IF(O111="Yes", 1)</f>
        <v>1</v>
      </c>
      <c r="Q111" s="1"/>
    </row>
    <row r="112" spans="1:17" x14ac:dyDescent="0.25">
      <c r="A112">
        <v>26849</v>
      </c>
      <c r="B112" s="1" t="s">
        <v>31</v>
      </c>
      <c r="C112" s="1" t="s">
        <v>32</v>
      </c>
      <c r="D112" s="2">
        <v>10000</v>
      </c>
      <c r="E112" s="2" t="str">
        <f>IF(bike_buyers[[#This Row],[Income]]&lt;40000,"Under 40K", IF(bike_buyers[[#This Row],[Income]]&lt;60000,"40K-59K", IF(bike_buyers[[#This Row],[Income]]&lt;80000,"60K-79K", IF(bike_buyers[[#This Row],[Income]]&lt;100000,"80K-99K","100K+"))))</f>
        <v>Under 40K</v>
      </c>
      <c r="F112">
        <v>3</v>
      </c>
      <c r="G112" s="1" t="s">
        <v>28</v>
      </c>
      <c r="H112" s="1" t="s">
        <v>24</v>
      </c>
      <c r="I112" s="1" t="s">
        <v>14</v>
      </c>
      <c r="J112">
        <v>2</v>
      </c>
      <c r="K112" s="1" t="s">
        <v>15</v>
      </c>
      <c r="L112" s="1" t="s">
        <v>16</v>
      </c>
      <c r="M112">
        <v>43</v>
      </c>
      <c r="N112" s="1" t="str" cm="1">
        <f t="array" ref="N112">_xlfn.IFS(M112&lt;40, " Adult", M112&lt;60, "Middle Age", M112&gt;=60, "Older Adult")</f>
        <v>Middle Age</v>
      </c>
      <c r="O112" s="1" t="s">
        <v>17</v>
      </c>
      <c r="P112" s="1" t="b">
        <f>IF(O112="Yes", 1)</f>
        <v>0</v>
      </c>
      <c r="Q112" s="1"/>
    </row>
    <row r="113" spans="1:17" x14ac:dyDescent="0.25">
      <c r="A113">
        <v>20962</v>
      </c>
      <c r="B113" s="1" t="s">
        <v>31</v>
      </c>
      <c r="C113" s="1" t="s">
        <v>33</v>
      </c>
      <c r="D113" s="2">
        <v>20000</v>
      </c>
      <c r="E113" s="2" t="str">
        <f>IF(bike_buyers[[#This Row],[Income]]&lt;40000,"Under 40K", IF(bike_buyers[[#This Row],[Income]]&lt;60000,"40K-59K", IF(bike_buyers[[#This Row],[Income]]&lt;80000,"60K-79K", IF(bike_buyers[[#This Row],[Income]]&lt;100000,"80K-99K","100K+"))))</f>
        <v>Under 40K</v>
      </c>
      <c r="F113">
        <v>1</v>
      </c>
      <c r="G113" s="1" t="s">
        <v>29</v>
      </c>
      <c r="H113" s="1" t="s">
        <v>19</v>
      </c>
      <c r="I113" s="1" t="s">
        <v>14</v>
      </c>
      <c r="J113">
        <v>0</v>
      </c>
      <c r="K113" s="1" t="s">
        <v>15</v>
      </c>
      <c r="L113" s="1" t="s">
        <v>16</v>
      </c>
      <c r="M113">
        <v>45</v>
      </c>
      <c r="N113" s="1" t="str" cm="1">
        <f t="array" ref="N113">_xlfn.IFS(M113&lt;40, " Adult", M113&lt;60, "Middle Age", M113&gt;=60, "Older Adult")</f>
        <v>Middle Age</v>
      </c>
      <c r="O113" s="1" t="s">
        <v>17</v>
      </c>
      <c r="P113" s="1" t="b">
        <f>IF(O113="Yes", 1)</f>
        <v>0</v>
      </c>
      <c r="Q113" s="1"/>
    </row>
    <row r="114" spans="1:17" x14ac:dyDescent="0.25">
      <c r="A114">
        <v>12591</v>
      </c>
      <c r="B114" s="1" t="s">
        <v>31</v>
      </c>
      <c r="C114" s="1" t="s">
        <v>33</v>
      </c>
      <c r="D114" s="2">
        <v>30000</v>
      </c>
      <c r="E114" s="2" t="str">
        <f>IF(bike_buyers[[#This Row],[Income]]&lt;40000,"Under 40K", IF(bike_buyers[[#This Row],[Income]]&lt;60000,"40K-59K", IF(bike_buyers[[#This Row],[Income]]&lt;80000,"60K-79K", IF(bike_buyers[[#This Row],[Income]]&lt;100000,"80K-99K","100K+"))))</f>
        <v>Under 40K</v>
      </c>
      <c r="F114">
        <v>4</v>
      </c>
      <c r="G114" s="1" t="s">
        <v>29</v>
      </c>
      <c r="H114" s="1" t="s">
        <v>19</v>
      </c>
      <c r="I114" s="1" t="s">
        <v>14</v>
      </c>
      <c r="J114">
        <v>0</v>
      </c>
      <c r="K114" s="1" t="s">
        <v>15</v>
      </c>
      <c r="L114" s="1" t="s">
        <v>16</v>
      </c>
      <c r="M114">
        <v>45</v>
      </c>
      <c r="N114" s="1" t="str" cm="1">
        <f t="array" ref="N114">_xlfn.IFS(M114&lt;40, " Adult", M114&lt;60, "Middle Age", M114&gt;=60, "Older Adult")</f>
        <v>Middle Age</v>
      </c>
      <c r="O114" s="1" t="s">
        <v>17</v>
      </c>
      <c r="P114" s="1" t="b">
        <f>IF(O114="Yes", 1)</f>
        <v>0</v>
      </c>
      <c r="Q114" s="1"/>
    </row>
    <row r="115" spans="1:17" x14ac:dyDescent="0.25">
      <c r="A115">
        <v>24174</v>
      </c>
      <c r="B115" s="1" t="s">
        <v>31</v>
      </c>
      <c r="C115" s="1" t="s">
        <v>32</v>
      </c>
      <c r="D115" s="2">
        <v>20000</v>
      </c>
      <c r="E115" s="2" t="str">
        <f>IF(bike_buyers[[#This Row],[Income]]&lt;40000,"Under 40K", IF(bike_buyers[[#This Row],[Income]]&lt;60000,"40K-59K", IF(bike_buyers[[#This Row],[Income]]&lt;80000,"60K-79K", IF(bike_buyers[[#This Row],[Income]]&lt;100000,"80K-99K","100K+"))))</f>
        <v>Under 40K</v>
      </c>
      <c r="F115">
        <v>0</v>
      </c>
      <c r="G115" s="1" t="s">
        <v>12</v>
      </c>
      <c r="H115" s="1" t="s">
        <v>19</v>
      </c>
      <c r="I115" s="1" t="s">
        <v>14</v>
      </c>
      <c r="J115">
        <v>0</v>
      </c>
      <c r="K115" s="1" t="s">
        <v>15</v>
      </c>
      <c r="L115" s="1" t="s">
        <v>23</v>
      </c>
      <c r="M115">
        <v>27</v>
      </c>
      <c r="N115" s="1" t="str" cm="1">
        <f t="array" ref="N115">_xlfn.IFS(M115&lt;40, " Adult", M115&lt;60, "Middle Age", M115&gt;=60, "Older Adult")</f>
        <v xml:space="preserve"> Adult</v>
      </c>
      <c r="O115" s="1" t="s">
        <v>14</v>
      </c>
      <c r="P115" s="1">
        <f>IF(O115="Yes", 1)</f>
        <v>1</v>
      </c>
      <c r="Q115" s="1"/>
    </row>
    <row r="116" spans="1:17" x14ac:dyDescent="0.25">
      <c r="A116">
        <v>11340</v>
      </c>
      <c r="B116" s="1" t="s">
        <v>31</v>
      </c>
      <c r="C116" s="1" t="s">
        <v>33</v>
      </c>
      <c r="D116" s="2">
        <v>10000</v>
      </c>
      <c r="E116" s="2" t="str">
        <f>IF(bike_buyers[[#This Row],[Income]]&lt;40000,"Under 40K", IF(bike_buyers[[#This Row],[Income]]&lt;60000,"40K-59K", IF(bike_buyers[[#This Row],[Income]]&lt;80000,"60K-79K", IF(bike_buyers[[#This Row],[Income]]&lt;100000,"80K-99K","100K+"))))</f>
        <v>Under 40K</v>
      </c>
      <c r="F116">
        <v>1</v>
      </c>
      <c r="G116" s="1" t="s">
        <v>29</v>
      </c>
      <c r="H116" s="1" t="s">
        <v>19</v>
      </c>
      <c r="I116" s="1" t="s">
        <v>14</v>
      </c>
      <c r="J116">
        <v>0</v>
      </c>
      <c r="K116" s="1" t="s">
        <v>15</v>
      </c>
      <c r="L116" s="1" t="s">
        <v>16</v>
      </c>
      <c r="M116">
        <v>70</v>
      </c>
      <c r="N116" s="1" t="str" cm="1">
        <f t="array" ref="N116">_xlfn.IFS(M116&lt;40, " Adult", M116&lt;60, "Middle Age", M116&gt;=60, "Older Adult")</f>
        <v>Older Adult</v>
      </c>
      <c r="O116" s="1" t="s">
        <v>14</v>
      </c>
      <c r="P116" s="1">
        <f>IF(O116="Yes", 1)</f>
        <v>1</v>
      </c>
      <c r="Q116" s="1"/>
    </row>
    <row r="117" spans="1:17" x14ac:dyDescent="0.25">
      <c r="A117">
        <v>25693</v>
      </c>
      <c r="B117" s="1" t="s">
        <v>34</v>
      </c>
      <c r="C117" s="1" t="s">
        <v>33</v>
      </c>
      <c r="D117" s="2">
        <v>30000</v>
      </c>
      <c r="E117" s="2" t="str">
        <f>IF(bike_buyers[[#This Row],[Income]]&lt;40000,"Under 40K", IF(bike_buyers[[#This Row],[Income]]&lt;60000,"40K-59K", IF(bike_buyers[[#This Row],[Income]]&lt;80000,"60K-79K", IF(bike_buyers[[#This Row],[Income]]&lt;100000,"80K-99K","100K+"))))</f>
        <v>Under 40K</v>
      </c>
      <c r="F117">
        <v>5</v>
      </c>
      <c r="G117" s="1" t="s">
        <v>29</v>
      </c>
      <c r="H117" s="1" t="s">
        <v>19</v>
      </c>
      <c r="I117" s="1" t="s">
        <v>14</v>
      </c>
      <c r="J117">
        <v>0</v>
      </c>
      <c r="K117" s="1" t="s">
        <v>15</v>
      </c>
      <c r="L117" s="1" t="s">
        <v>16</v>
      </c>
      <c r="M117">
        <v>44</v>
      </c>
      <c r="N117" s="1" t="str" cm="1">
        <f t="array" ref="N117">_xlfn.IFS(M117&lt;40, " Adult", M117&lt;60, "Middle Age", M117&gt;=60, "Older Adult")</f>
        <v>Middle Age</v>
      </c>
      <c r="O117" s="1" t="s">
        <v>14</v>
      </c>
      <c r="P117" s="1">
        <f>IF(O117="Yes", 1)</f>
        <v>1</v>
      </c>
      <c r="Q117" s="1"/>
    </row>
    <row r="118" spans="1:17" x14ac:dyDescent="0.25">
      <c r="A118">
        <v>25555</v>
      </c>
      <c r="B118" s="1" t="s">
        <v>31</v>
      </c>
      <c r="C118" s="1" t="s">
        <v>33</v>
      </c>
      <c r="D118" s="2">
        <v>10000</v>
      </c>
      <c r="E118" s="2" t="str">
        <f>IF(bike_buyers[[#This Row],[Income]]&lt;40000,"Under 40K", IF(bike_buyers[[#This Row],[Income]]&lt;60000,"40K-59K", IF(bike_buyers[[#This Row],[Income]]&lt;80000,"60K-79K", IF(bike_buyers[[#This Row],[Income]]&lt;100000,"80K-99K","100K+"))))</f>
        <v>Under 40K</v>
      </c>
      <c r="F118">
        <v>0</v>
      </c>
      <c r="G118" s="1" t="s">
        <v>18</v>
      </c>
      <c r="H118" s="1" t="s">
        <v>24</v>
      </c>
      <c r="I118" s="1" t="s">
        <v>17</v>
      </c>
      <c r="J118">
        <v>1</v>
      </c>
      <c r="K118" s="1" t="s">
        <v>15</v>
      </c>
      <c r="L118" s="1" t="s">
        <v>23</v>
      </c>
      <c r="M118">
        <v>26</v>
      </c>
      <c r="N118" s="1" t="str" cm="1">
        <f t="array" ref="N118">_xlfn.IFS(M118&lt;40, " Adult", M118&lt;60, "Middle Age", M118&gt;=60, "Older Adult")</f>
        <v xml:space="preserve"> Adult</v>
      </c>
      <c r="O118" s="1" t="s">
        <v>14</v>
      </c>
      <c r="P118" s="1">
        <f>IF(O118="Yes", 1)</f>
        <v>1</v>
      </c>
      <c r="Q118" s="1"/>
    </row>
    <row r="119" spans="1:17" x14ac:dyDescent="0.25">
      <c r="A119">
        <v>20060</v>
      </c>
      <c r="B119" s="1" t="s">
        <v>34</v>
      </c>
      <c r="C119" s="1" t="s">
        <v>33</v>
      </c>
      <c r="D119" s="2">
        <v>30000</v>
      </c>
      <c r="E119" s="2" t="str">
        <f>IF(bike_buyers[[#This Row],[Income]]&lt;40000,"Under 40K", IF(bike_buyers[[#This Row],[Income]]&lt;60000,"40K-59K", IF(bike_buyers[[#This Row],[Income]]&lt;80000,"60K-79K", IF(bike_buyers[[#This Row],[Income]]&lt;100000,"80K-99K","100K+"))))</f>
        <v>Under 40K</v>
      </c>
      <c r="F119">
        <v>0</v>
      </c>
      <c r="G119" s="1" t="s">
        <v>26</v>
      </c>
      <c r="H119" s="1" t="s">
        <v>24</v>
      </c>
      <c r="I119" s="1" t="s">
        <v>17</v>
      </c>
      <c r="J119">
        <v>1</v>
      </c>
      <c r="K119" s="1" t="s">
        <v>21</v>
      </c>
      <c r="L119" s="1" t="s">
        <v>16</v>
      </c>
      <c r="M119">
        <v>34</v>
      </c>
      <c r="N119" s="1" t="str" cm="1">
        <f t="array" ref="N119">_xlfn.IFS(M119&lt;40, " Adult", M119&lt;60, "Middle Age", M119&gt;=60, "Older Adult")</f>
        <v xml:space="preserve"> Adult</v>
      </c>
      <c r="O119" s="1" t="s">
        <v>14</v>
      </c>
      <c r="P119" s="1">
        <f>IF(O119="Yes", 1)</f>
        <v>1</v>
      </c>
      <c r="Q119" s="1"/>
    </row>
    <row r="120" spans="1:17" x14ac:dyDescent="0.25">
      <c r="A120">
        <v>17702</v>
      </c>
      <c r="B120" s="1" t="s">
        <v>31</v>
      </c>
      <c r="C120" s="1" t="s">
        <v>32</v>
      </c>
      <c r="D120" s="2">
        <v>10000</v>
      </c>
      <c r="E120" s="2" t="str">
        <f>IF(bike_buyers[[#This Row],[Income]]&lt;40000,"Under 40K", IF(bike_buyers[[#This Row],[Income]]&lt;60000,"40K-59K", IF(bike_buyers[[#This Row],[Income]]&lt;80000,"60K-79K", IF(bike_buyers[[#This Row],[Income]]&lt;100000,"80K-99K","100K+"))))</f>
        <v>Under 40K</v>
      </c>
      <c r="F120">
        <v>1</v>
      </c>
      <c r="G120" s="1" t="s">
        <v>29</v>
      </c>
      <c r="H120" s="1" t="s">
        <v>24</v>
      </c>
      <c r="I120" s="1" t="s">
        <v>14</v>
      </c>
      <c r="J120">
        <v>0</v>
      </c>
      <c r="K120" s="1" t="s">
        <v>15</v>
      </c>
      <c r="L120" s="1" t="s">
        <v>16</v>
      </c>
      <c r="M120">
        <v>37</v>
      </c>
      <c r="N120" s="1" t="str" cm="1">
        <f t="array" ref="N120">_xlfn.IFS(M120&lt;40, " Adult", M120&lt;60, "Middle Age", M120&gt;=60, "Older Adult")</f>
        <v xml:space="preserve"> Adult</v>
      </c>
      <c r="O120" s="1" t="s">
        <v>17</v>
      </c>
      <c r="P120" s="1" t="b">
        <f>IF(O120="Yes", 1)</f>
        <v>0</v>
      </c>
      <c r="Q120" s="1"/>
    </row>
    <row r="121" spans="1:17" x14ac:dyDescent="0.25">
      <c r="A121">
        <v>12503</v>
      </c>
      <c r="B121" s="1" t="s">
        <v>34</v>
      </c>
      <c r="C121" s="1" t="s">
        <v>33</v>
      </c>
      <c r="D121" s="2">
        <v>30000</v>
      </c>
      <c r="E121" s="2" t="str">
        <f>IF(bike_buyers[[#This Row],[Income]]&lt;40000,"Under 40K", IF(bike_buyers[[#This Row],[Income]]&lt;60000,"40K-59K", IF(bike_buyers[[#This Row],[Income]]&lt;80000,"60K-79K", IF(bike_buyers[[#This Row],[Income]]&lt;100000,"80K-99K","100K+"))))</f>
        <v>Under 40K</v>
      </c>
      <c r="F121">
        <v>3</v>
      </c>
      <c r="G121" s="1" t="s">
        <v>18</v>
      </c>
      <c r="H121" s="1" t="s">
        <v>19</v>
      </c>
      <c r="I121" s="1" t="s">
        <v>14</v>
      </c>
      <c r="J121">
        <v>2</v>
      </c>
      <c r="K121" s="1" t="s">
        <v>15</v>
      </c>
      <c r="L121" s="1" t="s">
        <v>16</v>
      </c>
      <c r="M121">
        <v>27</v>
      </c>
      <c r="N121" s="1" t="str" cm="1">
        <f t="array" ref="N121">_xlfn.IFS(M121&lt;40, " Adult", M121&lt;60, "Middle Age", M121&gt;=60, "Older Adult")</f>
        <v xml:space="preserve"> Adult</v>
      </c>
      <c r="O121" s="1" t="s">
        <v>17</v>
      </c>
      <c r="P121" s="1" t="b">
        <f>IF(O121="Yes", 1)</f>
        <v>0</v>
      </c>
      <c r="Q121" s="1"/>
    </row>
    <row r="122" spans="1:17" x14ac:dyDescent="0.25">
      <c r="A122">
        <v>23908</v>
      </c>
      <c r="B122" s="1" t="s">
        <v>34</v>
      </c>
      <c r="C122" s="1" t="s">
        <v>32</v>
      </c>
      <c r="D122" s="2">
        <v>30000</v>
      </c>
      <c r="E122" s="2" t="str">
        <f>IF(bike_buyers[[#This Row],[Income]]&lt;40000,"Under 40K", IF(bike_buyers[[#This Row],[Income]]&lt;60000,"40K-59K", IF(bike_buyers[[#This Row],[Income]]&lt;80000,"60K-79K", IF(bike_buyers[[#This Row],[Income]]&lt;100000,"80K-99K","100K+"))))</f>
        <v>Under 40K</v>
      </c>
      <c r="F122">
        <v>1</v>
      </c>
      <c r="G122" s="1" t="s">
        <v>12</v>
      </c>
      <c r="H122" s="1" t="s">
        <v>19</v>
      </c>
      <c r="I122" s="1" t="s">
        <v>17</v>
      </c>
      <c r="J122">
        <v>1</v>
      </c>
      <c r="K122" s="1" t="s">
        <v>15</v>
      </c>
      <c r="L122" s="1" t="s">
        <v>16</v>
      </c>
      <c r="M122">
        <v>39</v>
      </c>
      <c r="N122" s="1" t="str" cm="1">
        <f t="array" ref="N122">_xlfn.IFS(M122&lt;40, " Adult", M122&lt;60, "Middle Age", M122&gt;=60, "Older Adult")</f>
        <v xml:space="preserve"> Adult</v>
      </c>
      <c r="O122" s="1" t="s">
        <v>14</v>
      </c>
      <c r="P122" s="1">
        <f>IF(O122="Yes", 1)</f>
        <v>1</v>
      </c>
      <c r="Q122" s="1"/>
    </row>
    <row r="123" spans="1:17" x14ac:dyDescent="0.25">
      <c r="A123">
        <v>22527</v>
      </c>
      <c r="B123" s="1" t="s">
        <v>34</v>
      </c>
      <c r="C123" s="1" t="s">
        <v>33</v>
      </c>
      <c r="D123" s="2">
        <v>20000</v>
      </c>
      <c r="E123" s="2" t="str">
        <f>IF(bike_buyers[[#This Row],[Income]]&lt;40000,"Under 40K", IF(bike_buyers[[#This Row],[Income]]&lt;60000,"40K-59K", IF(bike_buyers[[#This Row],[Income]]&lt;80000,"60K-79K", IF(bike_buyers[[#This Row],[Income]]&lt;100000,"80K-99K","100K+"))))</f>
        <v>Under 40K</v>
      </c>
      <c r="F123">
        <v>0</v>
      </c>
      <c r="G123" s="1" t="s">
        <v>26</v>
      </c>
      <c r="H123" s="1" t="s">
        <v>24</v>
      </c>
      <c r="I123" s="1" t="s">
        <v>17</v>
      </c>
      <c r="J123">
        <v>1</v>
      </c>
      <c r="K123" s="1" t="s">
        <v>21</v>
      </c>
      <c r="L123" s="1" t="s">
        <v>16</v>
      </c>
      <c r="M123">
        <v>29</v>
      </c>
      <c r="N123" s="1" t="str" cm="1">
        <f t="array" ref="N123">_xlfn.IFS(M123&lt;40, " Adult", M123&lt;60, "Middle Age", M123&gt;=60, "Older Adult")</f>
        <v xml:space="preserve"> Adult</v>
      </c>
      <c r="O123" s="1" t="s">
        <v>17</v>
      </c>
      <c r="P123" s="1" t="b">
        <f>IF(O123="Yes", 1)</f>
        <v>0</v>
      </c>
      <c r="Q123" s="1"/>
    </row>
    <row r="124" spans="1:17" x14ac:dyDescent="0.25">
      <c r="A124">
        <v>13981</v>
      </c>
      <c r="B124" s="1" t="s">
        <v>31</v>
      </c>
      <c r="C124" s="1" t="s">
        <v>33</v>
      </c>
      <c r="D124" s="2">
        <v>10000</v>
      </c>
      <c r="E124" s="2" t="str">
        <f>IF(bike_buyers[[#This Row],[Income]]&lt;40000,"Under 40K", IF(bike_buyers[[#This Row],[Income]]&lt;60000,"40K-59K", IF(bike_buyers[[#This Row],[Income]]&lt;80000,"60K-79K", IF(bike_buyers[[#This Row],[Income]]&lt;100000,"80K-99K","100K+"))))</f>
        <v>Under 40K</v>
      </c>
      <c r="F124">
        <v>5</v>
      </c>
      <c r="G124" s="1" t="s">
        <v>26</v>
      </c>
      <c r="H124" s="1" t="s">
        <v>13</v>
      </c>
      <c r="I124" s="1" t="s">
        <v>17</v>
      </c>
      <c r="J124">
        <v>3</v>
      </c>
      <c r="K124" s="1" t="s">
        <v>25</v>
      </c>
      <c r="L124" s="1" t="s">
        <v>23</v>
      </c>
      <c r="M124">
        <v>62</v>
      </c>
      <c r="N124" s="1" t="str" cm="1">
        <f t="array" ref="N124">_xlfn.IFS(M124&lt;40, " Adult", M124&lt;60, "Middle Age", M124&gt;=60, "Older Adult")</f>
        <v>Older Adult</v>
      </c>
      <c r="O124" s="1" t="s">
        <v>17</v>
      </c>
      <c r="P124" s="1" t="b">
        <f>IF(O124="Yes", 1)</f>
        <v>0</v>
      </c>
      <c r="Q124" s="1"/>
    </row>
    <row r="125" spans="1:17" x14ac:dyDescent="0.25">
      <c r="A125">
        <v>21375</v>
      </c>
      <c r="B125" s="1" t="s">
        <v>34</v>
      </c>
      <c r="C125" s="1" t="s">
        <v>32</v>
      </c>
      <c r="D125" s="2">
        <v>20000</v>
      </c>
      <c r="E125" s="2" t="str">
        <f>IF(bike_buyers[[#This Row],[Income]]&lt;40000,"Under 40K", IF(bike_buyers[[#This Row],[Income]]&lt;60000,"40K-59K", IF(bike_buyers[[#This Row],[Income]]&lt;80000,"60K-79K", IF(bike_buyers[[#This Row],[Income]]&lt;100000,"80K-99K","100K+"))))</f>
        <v>Under 40K</v>
      </c>
      <c r="F125">
        <v>2</v>
      </c>
      <c r="G125" s="1" t="s">
        <v>28</v>
      </c>
      <c r="H125" s="1" t="s">
        <v>19</v>
      </c>
      <c r="I125" s="1" t="s">
        <v>14</v>
      </c>
      <c r="J125">
        <v>2</v>
      </c>
      <c r="K125" s="1" t="s">
        <v>22</v>
      </c>
      <c r="L125" s="1" t="s">
        <v>23</v>
      </c>
      <c r="M125">
        <v>57</v>
      </c>
      <c r="N125" s="1" t="str" cm="1">
        <f t="array" ref="N125">_xlfn.IFS(M125&lt;40, " Adult", M125&lt;60, "Middle Age", M125&gt;=60, "Older Adult")</f>
        <v>Middle Age</v>
      </c>
      <c r="O125" s="1" t="s">
        <v>17</v>
      </c>
      <c r="P125" s="1" t="b">
        <f>IF(O125="Yes", 1)</f>
        <v>0</v>
      </c>
      <c r="Q125" s="1"/>
    </row>
    <row r="126" spans="1:17" x14ac:dyDescent="0.25">
      <c r="A126">
        <v>20839</v>
      </c>
      <c r="B126" s="1" t="s">
        <v>34</v>
      </c>
      <c r="C126" s="1" t="s">
        <v>33</v>
      </c>
      <c r="D126" s="2">
        <v>30000</v>
      </c>
      <c r="E126" s="2" t="str">
        <f>IF(bike_buyers[[#This Row],[Income]]&lt;40000,"Under 40K", IF(bike_buyers[[#This Row],[Income]]&lt;60000,"40K-59K", IF(bike_buyers[[#This Row],[Income]]&lt;80000,"60K-79K", IF(bike_buyers[[#This Row],[Income]]&lt;100000,"80K-99K","100K+"))))</f>
        <v>Under 40K</v>
      </c>
      <c r="F126">
        <v>3</v>
      </c>
      <c r="G126" s="1" t="s">
        <v>29</v>
      </c>
      <c r="H126" s="1" t="s">
        <v>19</v>
      </c>
      <c r="I126" s="1" t="s">
        <v>14</v>
      </c>
      <c r="J126">
        <v>0</v>
      </c>
      <c r="K126" s="1" t="s">
        <v>15</v>
      </c>
      <c r="L126" s="1" t="s">
        <v>16</v>
      </c>
      <c r="M126">
        <v>47</v>
      </c>
      <c r="N126" s="1" t="str" cm="1">
        <f t="array" ref="N126">_xlfn.IFS(M126&lt;40, " Adult", M126&lt;60, "Middle Age", M126&gt;=60, "Older Adult")</f>
        <v>Middle Age</v>
      </c>
      <c r="O126" s="1" t="s">
        <v>14</v>
      </c>
      <c r="P126" s="1">
        <f>IF(O126="Yes", 1)</f>
        <v>1</v>
      </c>
      <c r="Q126" s="1"/>
    </row>
    <row r="127" spans="1:17" x14ac:dyDescent="0.25">
      <c r="A127">
        <v>21738</v>
      </c>
      <c r="B127" s="1" t="s">
        <v>31</v>
      </c>
      <c r="C127" s="1" t="s">
        <v>32</v>
      </c>
      <c r="D127" s="2">
        <v>20000</v>
      </c>
      <c r="E127" s="2" t="str">
        <f>IF(bike_buyers[[#This Row],[Income]]&lt;40000,"Under 40K", IF(bike_buyers[[#This Row],[Income]]&lt;60000,"40K-59K", IF(bike_buyers[[#This Row],[Income]]&lt;80000,"60K-79K", IF(bike_buyers[[#This Row],[Income]]&lt;100000,"80K-99K","100K+"))))</f>
        <v>Under 40K</v>
      </c>
      <c r="F127">
        <v>1</v>
      </c>
      <c r="G127" s="1" t="s">
        <v>29</v>
      </c>
      <c r="H127" s="1" t="s">
        <v>19</v>
      </c>
      <c r="I127" s="1" t="s">
        <v>14</v>
      </c>
      <c r="J127">
        <v>0</v>
      </c>
      <c r="K127" s="1" t="s">
        <v>15</v>
      </c>
      <c r="L127" s="1" t="s">
        <v>16</v>
      </c>
      <c r="M127">
        <v>43</v>
      </c>
      <c r="N127" s="1" t="str" cm="1">
        <f t="array" ref="N127">_xlfn.IFS(M127&lt;40, " Adult", M127&lt;60, "Middle Age", M127&gt;=60, "Older Adult")</f>
        <v>Middle Age</v>
      </c>
      <c r="O127" s="1" t="s">
        <v>17</v>
      </c>
      <c r="P127" s="1" t="b">
        <f>IF(O127="Yes", 1)</f>
        <v>0</v>
      </c>
      <c r="Q127" s="1"/>
    </row>
    <row r="128" spans="1:17" x14ac:dyDescent="0.25">
      <c r="A128">
        <v>22672</v>
      </c>
      <c r="B128" s="1" t="s">
        <v>34</v>
      </c>
      <c r="C128" s="1" t="s">
        <v>33</v>
      </c>
      <c r="D128" s="2">
        <v>30000</v>
      </c>
      <c r="E128" s="2" t="str">
        <f>IF(bike_buyers[[#This Row],[Income]]&lt;40000,"Under 40K", IF(bike_buyers[[#This Row],[Income]]&lt;60000,"40K-59K", IF(bike_buyers[[#This Row],[Income]]&lt;80000,"60K-79K", IF(bike_buyers[[#This Row],[Income]]&lt;100000,"80K-99K","100K+"))))</f>
        <v>Under 40K</v>
      </c>
      <c r="F128">
        <v>2</v>
      </c>
      <c r="G128" s="1" t="s">
        <v>18</v>
      </c>
      <c r="H128" s="1" t="s">
        <v>19</v>
      </c>
      <c r="I128" s="1" t="s">
        <v>14</v>
      </c>
      <c r="J128">
        <v>0</v>
      </c>
      <c r="K128" s="1" t="s">
        <v>15</v>
      </c>
      <c r="L128" s="1" t="s">
        <v>16</v>
      </c>
      <c r="M128">
        <v>43</v>
      </c>
      <c r="N128" s="1" t="str" cm="1">
        <f t="array" ref="N128">_xlfn.IFS(M128&lt;40, " Adult", M128&lt;60, "Middle Age", M128&gt;=60, "Older Adult")</f>
        <v>Middle Age</v>
      </c>
      <c r="O128" s="1" t="s">
        <v>17</v>
      </c>
      <c r="P128" s="1" t="b">
        <f>IF(O128="Yes", 1)</f>
        <v>0</v>
      </c>
      <c r="Q128" s="1"/>
    </row>
    <row r="129" spans="1:17" x14ac:dyDescent="0.25">
      <c r="A129">
        <v>28468</v>
      </c>
      <c r="B129" s="1" t="s">
        <v>31</v>
      </c>
      <c r="C129" s="1" t="s">
        <v>33</v>
      </c>
      <c r="D129" s="2">
        <v>10000</v>
      </c>
      <c r="E129" s="2" t="str">
        <f>IF(bike_buyers[[#This Row],[Income]]&lt;40000,"Under 40K", IF(bike_buyers[[#This Row],[Income]]&lt;60000,"40K-59K", IF(bike_buyers[[#This Row],[Income]]&lt;80000,"60K-79K", IF(bike_buyers[[#This Row],[Income]]&lt;100000,"80K-99K","100K+"))))</f>
        <v>Under 40K</v>
      </c>
      <c r="F129">
        <v>2</v>
      </c>
      <c r="G129" s="1" t="s">
        <v>18</v>
      </c>
      <c r="H129" s="1" t="s">
        <v>24</v>
      </c>
      <c r="I129" s="1" t="s">
        <v>14</v>
      </c>
      <c r="J129">
        <v>0</v>
      </c>
      <c r="K129" s="1" t="s">
        <v>25</v>
      </c>
      <c r="L129" s="1" t="s">
        <v>16</v>
      </c>
      <c r="M129">
        <v>51</v>
      </c>
      <c r="N129" s="1" t="str" cm="1">
        <f t="array" ref="N129">_xlfn.IFS(M129&lt;40, " Adult", M129&lt;60, "Middle Age", M129&gt;=60, "Older Adult")</f>
        <v>Middle Age</v>
      </c>
      <c r="O129" s="1" t="s">
        <v>17</v>
      </c>
      <c r="P129" s="1" t="b">
        <f>IF(O129="Yes", 1)</f>
        <v>0</v>
      </c>
      <c r="Q129" s="1"/>
    </row>
    <row r="130" spans="1:17" x14ac:dyDescent="0.25">
      <c r="A130">
        <v>20919</v>
      </c>
      <c r="B130" s="1" t="s">
        <v>34</v>
      </c>
      <c r="C130" s="1" t="s">
        <v>33</v>
      </c>
      <c r="D130" s="2">
        <v>30000</v>
      </c>
      <c r="E130" s="2" t="str">
        <f>IF(bike_buyers[[#This Row],[Income]]&lt;40000,"Under 40K", IF(bike_buyers[[#This Row],[Income]]&lt;60000,"40K-59K", IF(bike_buyers[[#This Row],[Income]]&lt;80000,"60K-79K", IF(bike_buyers[[#This Row],[Income]]&lt;100000,"80K-99K","100K+"))))</f>
        <v>Under 40K</v>
      </c>
      <c r="F130">
        <v>2</v>
      </c>
      <c r="G130" s="1" t="s">
        <v>18</v>
      </c>
      <c r="H130" s="1" t="s">
        <v>19</v>
      </c>
      <c r="I130" s="1" t="s">
        <v>14</v>
      </c>
      <c r="J130">
        <v>2</v>
      </c>
      <c r="K130" s="1" t="s">
        <v>15</v>
      </c>
      <c r="L130" s="1" t="s">
        <v>16</v>
      </c>
      <c r="M130">
        <v>42</v>
      </c>
      <c r="N130" s="1" t="str" cm="1">
        <f t="array" ref="N130">_xlfn.IFS(M130&lt;40, " Adult", M130&lt;60, "Middle Age", M130&gt;=60, "Older Adult")</f>
        <v>Middle Age</v>
      </c>
      <c r="O130" s="1" t="s">
        <v>17</v>
      </c>
      <c r="P130" s="1" t="b">
        <f>IF(O130="Yes", 1)</f>
        <v>0</v>
      </c>
      <c r="Q130" s="1"/>
    </row>
    <row r="131" spans="1:17" x14ac:dyDescent="0.25">
      <c r="A131">
        <v>20927</v>
      </c>
      <c r="B131" s="1" t="s">
        <v>34</v>
      </c>
      <c r="C131" s="1" t="s">
        <v>33</v>
      </c>
      <c r="D131" s="2">
        <v>20000</v>
      </c>
      <c r="E131" s="2" t="str">
        <f>IF(bike_buyers[[#This Row],[Income]]&lt;40000,"Under 40K", IF(bike_buyers[[#This Row],[Income]]&lt;60000,"40K-59K", IF(bike_buyers[[#This Row],[Income]]&lt;80000,"60K-79K", IF(bike_buyers[[#This Row],[Income]]&lt;100000,"80K-99K","100K+"))))</f>
        <v>Under 40K</v>
      </c>
      <c r="F131">
        <v>5</v>
      </c>
      <c r="G131" s="1" t="s">
        <v>26</v>
      </c>
      <c r="H131" s="1" t="s">
        <v>24</v>
      </c>
      <c r="I131" s="1" t="s">
        <v>14</v>
      </c>
      <c r="J131">
        <v>2</v>
      </c>
      <c r="K131" s="1" t="s">
        <v>15</v>
      </c>
      <c r="L131" s="1" t="s">
        <v>16</v>
      </c>
      <c r="M131">
        <v>27</v>
      </c>
      <c r="N131" s="1" t="str" cm="1">
        <f t="array" ref="N131">_xlfn.IFS(M131&lt;40, " Adult", M131&lt;60, "Middle Age", M131&gt;=60, "Older Adult")</f>
        <v xml:space="preserve"> Adult</v>
      </c>
      <c r="O131" s="1" t="s">
        <v>17</v>
      </c>
      <c r="P131" s="1" t="b">
        <f>IF(O131="Yes", 1)</f>
        <v>0</v>
      </c>
      <c r="Q131" s="1"/>
    </row>
    <row r="132" spans="1:17" x14ac:dyDescent="0.25">
      <c r="A132">
        <v>12231</v>
      </c>
      <c r="B132" s="1" t="s">
        <v>34</v>
      </c>
      <c r="C132" s="1" t="s">
        <v>33</v>
      </c>
      <c r="D132" s="2">
        <v>10000</v>
      </c>
      <c r="E132" s="2" t="str">
        <f>IF(bike_buyers[[#This Row],[Income]]&lt;40000,"Under 40K", IF(bike_buyers[[#This Row],[Income]]&lt;60000,"40K-59K", IF(bike_buyers[[#This Row],[Income]]&lt;80000,"60K-79K", IF(bike_buyers[[#This Row],[Income]]&lt;100000,"80K-99K","100K+"))))</f>
        <v>Under 40K</v>
      </c>
      <c r="F132">
        <v>2</v>
      </c>
      <c r="G132" s="1" t="s">
        <v>18</v>
      </c>
      <c r="H132" s="1" t="s">
        <v>24</v>
      </c>
      <c r="I132" s="1" t="s">
        <v>14</v>
      </c>
      <c r="J132">
        <v>0</v>
      </c>
      <c r="K132" s="1" t="s">
        <v>15</v>
      </c>
      <c r="L132" s="1" t="s">
        <v>16</v>
      </c>
      <c r="M132">
        <v>51</v>
      </c>
      <c r="N132" s="1" t="str" cm="1">
        <f t="array" ref="N132">_xlfn.IFS(M132&lt;40, " Adult", M132&lt;60, "Middle Age", M132&gt;=60, "Older Adult")</f>
        <v>Middle Age</v>
      </c>
      <c r="O132" s="1" t="s">
        <v>14</v>
      </c>
      <c r="P132" s="1">
        <f>IF(O132="Yes", 1)</f>
        <v>1</v>
      </c>
      <c r="Q132" s="1"/>
    </row>
    <row r="133" spans="1:17" x14ac:dyDescent="0.25">
      <c r="A133">
        <v>25665</v>
      </c>
      <c r="B133" s="1" t="s">
        <v>34</v>
      </c>
      <c r="C133" s="1" t="s">
        <v>33</v>
      </c>
      <c r="D133" s="2">
        <v>20000</v>
      </c>
      <c r="E133" s="2" t="str">
        <f>IF(bike_buyers[[#This Row],[Income]]&lt;40000,"Under 40K", IF(bike_buyers[[#This Row],[Income]]&lt;60000,"40K-59K", IF(bike_buyers[[#This Row],[Income]]&lt;80000,"60K-79K", IF(bike_buyers[[#This Row],[Income]]&lt;100000,"80K-99K","100K+"))))</f>
        <v>Under 40K</v>
      </c>
      <c r="F133">
        <v>0</v>
      </c>
      <c r="G133" s="1" t="s">
        <v>26</v>
      </c>
      <c r="H133" s="1" t="s">
        <v>24</v>
      </c>
      <c r="I133" s="1" t="s">
        <v>17</v>
      </c>
      <c r="J133">
        <v>1</v>
      </c>
      <c r="K133" s="1" t="s">
        <v>25</v>
      </c>
      <c r="L133" s="1" t="s">
        <v>16</v>
      </c>
      <c r="M133">
        <v>28</v>
      </c>
      <c r="N133" s="1" t="str" cm="1">
        <f t="array" ref="N133">_xlfn.IFS(M133&lt;40, " Adult", M133&lt;60, "Middle Age", M133&gt;=60, "Older Adult")</f>
        <v xml:space="preserve"> Adult</v>
      </c>
      <c r="O133" s="1" t="s">
        <v>17</v>
      </c>
      <c r="P133" s="1" t="b">
        <f>IF(O133="Yes", 1)</f>
        <v>0</v>
      </c>
      <c r="Q133" s="1"/>
    </row>
    <row r="134" spans="1:17" x14ac:dyDescent="0.25">
      <c r="A134">
        <v>24061</v>
      </c>
      <c r="B134" s="1" t="s">
        <v>31</v>
      </c>
      <c r="C134" s="1" t="s">
        <v>32</v>
      </c>
      <c r="D134" s="2">
        <v>10000</v>
      </c>
      <c r="E134" s="2" t="str">
        <f>IF(bike_buyers[[#This Row],[Income]]&lt;40000,"Under 40K", IF(bike_buyers[[#This Row],[Income]]&lt;60000,"40K-59K", IF(bike_buyers[[#This Row],[Income]]&lt;80000,"60K-79K", IF(bike_buyers[[#This Row],[Income]]&lt;100000,"80K-99K","100K+"))))</f>
        <v>Under 40K</v>
      </c>
      <c r="F134">
        <v>4</v>
      </c>
      <c r="G134" s="1" t="s">
        <v>28</v>
      </c>
      <c r="H134" s="1" t="s">
        <v>24</v>
      </c>
      <c r="I134" s="1" t="s">
        <v>14</v>
      </c>
      <c r="J134">
        <v>1</v>
      </c>
      <c r="K134" s="1" t="s">
        <v>15</v>
      </c>
      <c r="L134" s="1" t="s">
        <v>16</v>
      </c>
      <c r="M134">
        <v>40</v>
      </c>
      <c r="N134" s="1" t="str" cm="1">
        <f t="array" ref="N134">_xlfn.IFS(M134&lt;40, " Adult", M134&lt;60, "Middle Age", M134&gt;=60, "Older Adult")</f>
        <v>Middle Age</v>
      </c>
      <c r="O134" s="1" t="s">
        <v>14</v>
      </c>
      <c r="P134" s="1">
        <f>IF(O134="Yes", 1)</f>
        <v>1</v>
      </c>
      <c r="Q134" s="1"/>
    </row>
    <row r="135" spans="1:17" x14ac:dyDescent="0.25">
      <c r="A135">
        <v>26879</v>
      </c>
      <c r="B135" s="1" t="s">
        <v>34</v>
      </c>
      <c r="C135" s="1" t="s">
        <v>33</v>
      </c>
      <c r="D135" s="2">
        <v>20000</v>
      </c>
      <c r="E135" s="2" t="str">
        <f>IF(bike_buyers[[#This Row],[Income]]&lt;40000,"Under 40K", IF(bike_buyers[[#This Row],[Income]]&lt;60000,"40K-59K", IF(bike_buyers[[#This Row],[Income]]&lt;80000,"60K-79K", IF(bike_buyers[[#This Row],[Income]]&lt;100000,"80K-99K","100K+"))))</f>
        <v>Under 40K</v>
      </c>
      <c r="F135">
        <v>0</v>
      </c>
      <c r="G135" s="1" t="s">
        <v>26</v>
      </c>
      <c r="H135" s="1" t="s">
        <v>24</v>
      </c>
      <c r="I135" s="1" t="s">
        <v>17</v>
      </c>
      <c r="J135">
        <v>1</v>
      </c>
      <c r="K135" s="1" t="s">
        <v>21</v>
      </c>
      <c r="L135" s="1" t="s">
        <v>16</v>
      </c>
      <c r="M135">
        <v>30</v>
      </c>
      <c r="N135" s="1" t="str" cm="1">
        <f t="array" ref="N135">_xlfn.IFS(M135&lt;40, " Adult", M135&lt;60, "Middle Age", M135&gt;=60, "Older Adult")</f>
        <v xml:space="preserve"> Adult</v>
      </c>
      <c r="O135" s="1" t="s">
        <v>17</v>
      </c>
      <c r="P135" s="1" t="b">
        <f>IF(O135="Yes", 1)</f>
        <v>0</v>
      </c>
      <c r="Q135" s="1"/>
    </row>
    <row r="136" spans="1:17" x14ac:dyDescent="0.25">
      <c r="A136">
        <v>12284</v>
      </c>
      <c r="B136" s="1" t="s">
        <v>31</v>
      </c>
      <c r="C136" s="1" t="s">
        <v>33</v>
      </c>
      <c r="D136" s="2">
        <v>30000</v>
      </c>
      <c r="E136" s="2" t="str">
        <f>IF(bike_buyers[[#This Row],[Income]]&lt;40000,"Under 40K", IF(bike_buyers[[#This Row],[Income]]&lt;60000,"40K-59K", IF(bike_buyers[[#This Row],[Income]]&lt;80000,"60K-79K", IF(bike_buyers[[#This Row],[Income]]&lt;100000,"80K-99K","100K+"))))</f>
        <v>Under 40K</v>
      </c>
      <c r="F136">
        <v>0</v>
      </c>
      <c r="G136" s="1" t="s">
        <v>12</v>
      </c>
      <c r="H136" s="1" t="s">
        <v>19</v>
      </c>
      <c r="I136" s="1" t="s">
        <v>17</v>
      </c>
      <c r="J136">
        <v>0</v>
      </c>
      <c r="K136" s="1" t="s">
        <v>15</v>
      </c>
      <c r="L136" s="1" t="s">
        <v>16</v>
      </c>
      <c r="M136">
        <v>36</v>
      </c>
      <c r="N136" s="1" t="str" cm="1">
        <f t="array" ref="N136">_xlfn.IFS(M136&lt;40, " Adult", M136&lt;60, "Middle Age", M136&gt;=60, "Older Adult")</f>
        <v xml:space="preserve"> Adult</v>
      </c>
      <c r="O136" s="1" t="s">
        <v>14</v>
      </c>
      <c r="P136" s="1">
        <f>IF(O136="Yes", 1)</f>
        <v>1</v>
      </c>
      <c r="Q136" s="1"/>
    </row>
    <row r="137" spans="1:17" x14ac:dyDescent="0.25">
      <c r="A137">
        <v>14545</v>
      </c>
      <c r="B137" s="1" t="s">
        <v>31</v>
      </c>
      <c r="C137" s="1" t="s">
        <v>33</v>
      </c>
      <c r="D137" s="2">
        <v>10000</v>
      </c>
      <c r="E137" s="2" t="str">
        <f>IF(bike_buyers[[#This Row],[Income]]&lt;40000,"Under 40K", IF(bike_buyers[[#This Row],[Income]]&lt;60000,"40K-59K", IF(bike_buyers[[#This Row],[Income]]&lt;80000,"60K-79K", IF(bike_buyers[[#This Row],[Income]]&lt;100000,"80K-99K","100K+"))))</f>
        <v>Under 40K</v>
      </c>
      <c r="F137">
        <v>2</v>
      </c>
      <c r="G137" s="1" t="s">
        <v>18</v>
      </c>
      <c r="H137" s="1" t="s">
        <v>24</v>
      </c>
      <c r="I137" s="1" t="s">
        <v>14</v>
      </c>
      <c r="J137">
        <v>0</v>
      </c>
      <c r="K137" s="1" t="s">
        <v>25</v>
      </c>
      <c r="L137" s="1" t="s">
        <v>16</v>
      </c>
      <c r="M137">
        <v>49</v>
      </c>
      <c r="N137" s="1" t="str" cm="1">
        <f t="array" ref="N137">_xlfn.IFS(M137&lt;40, " Adult", M137&lt;60, "Middle Age", M137&gt;=60, "Older Adult")</f>
        <v>Middle Age</v>
      </c>
      <c r="O137" s="1" t="s">
        <v>17</v>
      </c>
      <c r="P137" s="1" t="b">
        <f>IF(O137="Yes", 1)</f>
        <v>0</v>
      </c>
      <c r="Q137" s="1"/>
    </row>
    <row r="138" spans="1:17" x14ac:dyDescent="0.25">
      <c r="A138">
        <v>24201</v>
      </c>
      <c r="B138" s="1" t="s">
        <v>31</v>
      </c>
      <c r="C138" s="1" t="s">
        <v>33</v>
      </c>
      <c r="D138" s="2">
        <v>10000</v>
      </c>
      <c r="E138" s="2" t="str">
        <f>IF(bike_buyers[[#This Row],[Income]]&lt;40000,"Under 40K", IF(bike_buyers[[#This Row],[Income]]&lt;60000,"40K-59K", IF(bike_buyers[[#This Row],[Income]]&lt;80000,"60K-79K", IF(bike_buyers[[#This Row],[Income]]&lt;100000,"80K-99K","100K+"))))</f>
        <v>Under 40K</v>
      </c>
      <c r="F138">
        <v>2</v>
      </c>
      <c r="G138" s="1" t="s">
        <v>26</v>
      </c>
      <c r="H138" s="1" t="s">
        <v>24</v>
      </c>
      <c r="I138" s="1" t="s">
        <v>14</v>
      </c>
      <c r="J138">
        <v>0</v>
      </c>
      <c r="K138" s="1" t="s">
        <v>15</v>
      </c>
      <c r="L138" s="1" t="s">
        <v>16</v>
      </c>
      <c r="M138">
        <v>37</v>
      </c>
      <c r="N138" s="1" t="str" cm="1">
        <f t="array" ref="N138">_xlfn.IFS(M138&lt;40, " Adult", M138&lt;60, "Middle Age", M138&gt;=60, "Older Adult")</f>
        <v xml:space="preserve"> Adult</v>
      </c>
      <c r="O138" s="1" t="s">
        <v>14</v>
      </c>
      <c r="P138" s="1">
        <f>IF(O138="Yes", 1)</f>
        <v>1</v>
      </c>
      <c r="Q138" s="1"/>
    </row>
    <row r="139" spans="1:17" x14ac:dyDescent="0.25">
      <c r="A139">
        <v>16390</v>
      </c>
      <c r="B139" s="1" t="s">
        <v>34</v>
      </c>
      <c r="C139" s="1" t="s">
        <v>32</v>
      </c>
      <c r="D139" s="2">
        <v>30000</v>
      </c>
      <c r="E139" s="2" t="str">
        <f>IF(bike_buyers[[#This Row],[Income]]&lt;40000,"Under 40K", IF(bike_buyers[[#This Row],[Income]]&lt;60000,"40K-59K", IF(bike_buyers[[#This Row],[Income]]&lt;80000,"60K-79K", IF(bike_buyers[[#This Row],[Income]]&lt;100000,"80K-99K","100K+"))))</f>
        <v>Under 40K</v>
      </c>
      <c r="F139">
        <v>1</v>
      </c>
      <c r="G139" s="1" t="s">
        <v>12</v>
      </c>
      <c r="H139" s="1" t="s">
        <v>19</v>
      </c>
      <c r="I139" s="1" t="s">
        <v>17</v>
      </c>
      <c r="J139">
        <v>0</v>
      </c>
      <c r="K139" s="1" t="s">
        <v>15</v>
      </c>
      <c r="L139" s="1" t="s">
        <v>16</v>
      </c>
      <c r="M139">
        <v>38</v>
      </c>
      <c r="N139" s="1" t="str" cm="1">
        <f t="array" ref="N139">_xlfn.IFS(M139&lt;40, " Adult", M139&lt;60, "Middle Age", M139&gt;=60, "Older Adult")</f>
        <v xml:space="preserve"> Adult</v>
      </c>
      <c r="O139" s="1" t="s">
        <v>14</v>
      </c>
      <c r="P139" s="1">
        <f>IF(O139="Yes", 1)</f>
        <v>1</v>
      </c>
      <c r="Q139" s="1"/>
    </row>
    <row r="140" spans="1:17" x14ac:dyDescent="0.25">
      <c r="A140">
        <v>14804</v>
      </c>
      <c r="B140" s="1" t="s">
        <v>34</v>
      </c>
      <c r="C140" s="1" t="s">
        <v>33</v>
      </c>
      <c r="D140" s="2">
        <v>10000</v>
      </c>
      <c r="E140" s="2" t="str">
        <f>IF(bike_buyers[[#This Row],[Income]]&lt;40000,"Under 40K", IF(bike_buyers[[#This Row],[Income]]&lt;60000,"40K-59K", IF(bike_buyers[[#This Row],[Income]]&lt;80000,"60K-79K", IF(bike_buyers[[#This Row],[Income]]&lt;100000,"80K-99K","100K+"))))</f>
        <v>Under 40K</v>
      </c>
      <c r="F140">
        <v>3</v>
      </c>
      <c r="G140" s="1" t="s">
        <v>28</v>
      </c>
      <c r="H140" s="1" t="s">
        <v>24</v>
      </c>
      <c r="I140" s="1" t="s">
        <v>14</v>
      </c>
      <c r="J140">
        <v>2</v>
      </c>
      <c r="K140" s="1" t="s">
        <v>15</v>
      </c>
      <c r="L140" s="1" t="s">
        <v>16</v>
      </c>
      <c r="M140">
        <v>43</v>
      </c>
      <c r="N140" s="1" t="str" cm="1">
        <f t="array" ref="N140">_xlfn.IFS(M140&lt;40, " Adult", M140&lt;60, "Middle Age", M140&gt;=60, "Older Adult")</f>
        <v>Middle Age</v>
      </c>
      <c r="O140" s="1" t="s">
        <v>17</v>
      </c>
      <c r="P140" s="1" t="b">
        <f>IF(O140="Yes", 1)</f>
        <v>0</v>
      </c>
      <c r="Q140" s="1"/>
    </row>
    <row r="141" spans="1:17" x14ac:dyDescent="0.25">
      <c r="A141">
        <v>12629</v>
      </c>
      <c r="B141" s="1" t="s">
        <v>34</v>
      </c>
      <c r="C141" s="1" t="s">
        <v>32</v>
      </c>
      <c r="D141" s="2">
        <v>20000</v>
      </c>
      <c r="E141" s="2" t="str">
        <f>IF(bike_buyers[[#This Row],[Income]]&lt;40000,"Under 40K", IF(bike_buyers[[#This Row],[Income]]&lt;60000,"40K-59K", IF(bike_buyers[[#This Row],[Income]]&lt;80000,"60K-79K", IF(bike_buyers[[#This Row],[Income]]&lt;100000,"80K-99K","100K+"))))</f>
        <v>Under 40K</v>
      </c>
      <c r="F141">
        <v>1</v>
      </c>
      <c r="G141" s="1" t="s">
        <v>18</v>
      </c>
      <c r="H141" s="1" t="s">
        <v>24</v>
      </c>
      <c r="I141" s="1" t="s">
        <v>17</v>
      </c>
      <c r="J141">
        <v>0</v>
      </c>
      <c r="K141" s="1" t="s">
        <v>15</v>
      </c>
      <c r="L141" s="1" t="s">
        <v>16</v>
      </c>
      <c r="M141">
        <v>37</v>
      </c>
      <c r="N141" s="1" t="str" cm="1">
        <f t="array" ref="N141">_xlfn.IFS(M141&lt;40, " Adult", M141&lt;60, "Middle Age", M141&gt;=60, "Older Adult")</f>
        <v xml:space="preserve"> Adult</v>
      </c>
      <c r="O141" s="1" t="s">
        <v>17</v>
      </c>
      <c r="P141" s="1" t="b">
        <f>IF(O141="Yes", 1)</f>
        <v>0</v>
      </c>
      <c r="Q141" s="1"/>
    </row>
    <row r="142" spans="1:17" x14ac:dyDescent="0.25">
      <c r="A142">
        <v>14696</v>
      </c>
      <c r="B142" s="1" t="s">
        <v>34</v>
      </c>
      <c r="C142" s="1" t="s">
        <v>32</v>
      </c>
      <c r="D142" s="2">
        <v>10000</v>
      </c>
      <c r="E142" s="2" t="str">
        <f>IF(bike_buyers[[#This Row],[Income]]&lt;40000,"Under 40K", IF(bike_buyers[[#This Row],[Income]]&lt;60000,"40K-59K", IF(bike_buyers[[#This Row],[Income]]&lt;80000,"60K-79K", IF(bike_buyers[[#This Row],[Income]]&lt;100000,"80K-99K","100K+"))))</f>
        <v>Under 40K</v>
      </c>
      <c r="F142">
        <v>0</v>
      </c>
      <c r="G142" s="1" t="s">
        <v>28</v>
      </c>
      <c r="H142" s="1" t="s">
        <v>24</v>
      </c>
      <c r="I142" s="1" t="s">
        <v>17</v>
      </c>
      <c r="J142">
        <v>2</v>
      </c>
      <c r="K142" s="1" t="s">
        <v>15</v>
      </c>
      <c r="L142" s="1" t="s">
        <v>16</v>
      </c>
      <c r="M142">
        <v>34</v>
      </c>
      <c r="N142" s="1" t="str" cm="1">
        <f t="array" ref="N142">_xlfn.IFS(M142&lt;40, " Adult", M142&lt;60, "Middle Age", M142&gt;=60, "Older Adult")</f>
        <v xml:space="preserve"> Adult</v>
      </c>
      <c r="O142" s="1" t="s">
        <v>17</v>
      </c>
      <c r="P142" s="1" t="b">
        <f>IF(O142="Yes", 1)</f>
        <v>0</v>
      </c>
      <c r="Q142" s="1"/>
    </row>
    <row r="143" spans="1:17" x14ac:dyDescent="0.25">
      <c r="A143">
        <v>14544</v>
      </c>
      <c r="B143" s="1" t="s">
        <v>34</v>
      </c>
      <c r="C143" s="1" t="s">
        <v>32</v>
      </c>
      <c r="D143" s="2">
        <v>10000</v>
      </c>
      <c r="E143" s="2" t="str">
        <f>IF(bike_buyers[[#This Row],[Income]]&lt;40000,"Under 40K", IF(bike_buyers[[#This Row],[Income]]&lt;60000,"40K-59K", IF(bike_buyers[[#This Row],[Income]]&lt;80000,"60K-79K", IF(bike_buyers[[#This Row],[Income]]&lt;100000,"80K-99K","100K+"))))</f>
        <v>Under 40K</v>
      </c>
      <c r="F143">
        <v>1</v>
      </c>
      <c r="G143" s="1" t="s">
        <v>18</v>
      </c>
      <c r="H143" s="1" t="s">
        <v>24</v>
      </c>
      <c r="I143" s="1" t="s">
        <v>14</v>
      </c>
      <c r="J143">
        <v>0</v>
      </c>
      <c r="K143" s="1" t="s">
        <v>15</v>
      </c>
      <c r="L143" s="1" t="s">
        <v>16</v>
      </c>
      <c r="M143">
        <v>49</v>
      </c>
      <c r="N143" s="1" t="str" cm="1">
        <f t="array" ref="N143">_xlfn.IFS(M143&lt;40, " Adult", M143&lt;60, "Middle Age", M143&gt;=60, "Older Adult")</f>
        <v>Middle Age</v>
      </c>
      <c r="O143" s="1" t="s">
        <v>17</v>
      </c>
      <c r="P143" s="1" t="b">
        <f>IF(O143="Yes", 1)</f>
        <v>0</v>
      </c>
      <c r="Q143" s="1"/>
    </row>
    <row r="144" spans="1:17" x14ac:dyDescent="0.25">
      <c r="A144">
        <v>24187</v>
      </c>
      <c r="B144" s="1" t="s">
        <v>34</v>
      </c>
      <c r="C144" s="1" t="s">
        <v>33</v>
      </c>
      <c r="D144" s="2">
        <v>30000</v>
      </c>
      <c r="E144" s="2" t="str">
        <f>IF(bike_buyers[[#This Row],[Income]]&lt;40000,"Under 40K", IF(bike_buyers[[#This Row],[Income]]&lt;60000,"40K-59K", IF(bike_buyers[[#This Row],[Income]]&lt;80000,"60K-79K", IF(bike_buyers[[#This Row],[Income]]&lt;100000,"80K-99K","100K+"))))</f>
        <v>Under 40K</v>
      </c>
      <c r="F144">
        <v>3</v>
      </c>
      <c r="G144" s="1" t="s">
        <v>29</v>
      </c>
      <c r="H144" s="1" t="s">
        <v>19</v>
      </c>
      <c r="I144" s="1" t="s">
        <v>17</v>
      </c>
      <c r="J144">
        <v>0</v>
      </c>
      <c r="K144" s="1" t="s">
        <v>15</v>
      </c>
      <c r="L144" s="1" t="s">
        <v>16</v>
      </c>
      <c r="M144">
        <v>46</v>
      </c>
      <c r="N144" s="1" t="str" cm="1">
        <f t="array" ref="N144">_xlfn.IFS(M144&lt;40, " Adult", M144&lt;60, "Middle Age", M144&gt;=60, "Older Adult")</f>
        <v>Middle Age</v>
      </c>
      <c r="O144" s="1" t="s">
        <v>14</v>
      </c>
      <c r="P144" s="1">
        <f>IF(O144="Yes", 1)</f>
        <v>1</v>
      </c>
      <c r="Q144" s="1"/>
    </row>
    <row r="145" spans="1:17" x14ac:dyDescent="0.25">
      <c r="A145">
        <v>29094</v>
      </c>
      <c r="B145" s="1" t="s">
        <v>31</v>
      </c>
      <c r="C145" s="1" t="s">
        <v>32</v>
      </c>
      <c r="D145" s="2">
        <v>30000</v>
      </c>
      <c r="E145" s="2" t="str">
        <f>IF(bike_buyers[[#This Row],[Income]]&lt;40000,"Under 40K", IF(bike_buyers[[#This Row],[Income]]&lt;60000,"40K-59K", IF(bike_buyers[[#This Row],[Income]]&lt;80000,"60K-79K", IF(bike_buyers[[#This Row],[Income]]&lt;100000,"80K-99K","100K+"))))</f>
        <v>Under 40K</v>
      </c>
      <c r="F145">
        <v>3</v>
      </c>
      <c r="G145" s="1" t="s">
        <v>26</v>
      </c>
      <c r="H145" s="1" t="s">
        <v>13</v>
      </c>
      <c r="I145" s="1" t="s">
        <v>14</v>
      </c>
      <c r="J145">
        <v>2</v>
      </c>
      <c r="K145" s="1" t="s">
        <v>22</v>
      </c>
      <c r="L145" s="1" t="s">
        <v>23</v>
      </c>
      <c r="M145">
        <v>54</v>
      </c>
      <c r="N145" s="1" t="str" cm="1">
        <f t="array" ref="N145">_xlfn.IFS(M145&lt;40, " Adult", M145&lt;60, "Middle Age", M145&gt;=60, "Older Adult")</f>
        <v>Middle Age</v>
      </c>
      <c r="O145" s="1" t="s">
        <v>14</v>
      </c>
      <c r="P145" s="1">
        <f>IF(O145="Yes", 1)</f>
        <v>1</v>
      </c>
      <c r="Q145" s="1"/>
    </row>
    <row r="146" spans="1:17" x14ac:dyDescent="0.25">
      <c r="A146">
        <v>11378</v>
      </c>
      <c r="B146" s="1" t="s">
        <v>34</v>
      </c>
      <c r="C146" s="1" t="s">
        <v>33</v>
      </c>
      <c r="D146" s="2">
        <v>10000</v>
      </c>
      <c r="E146" s="2" t="str">
        <f>IF(bike_buyers[[#This Row],[Income]]&lt;40000,"Under 40K", IF(bike_buyers[[#This Row],[Income]]&lt;60000,"40K-59K", IF(bike_buyers[[#This Row],[Income]]&lt;80000,"60K-79K", IF(bike_buyers[[#This Row],[Income]]&lt;100000,"80K-99K","100K+"))))</f>
        <v>Under 40K</v>
      </c>
      <c r="F146">
        <v>1</v>
      </c>
      <c r="G146" s="1" t="s">
        <v>26</v>
      </c>
      <c r="H146" s="1" t="s">
        <v>24</v>
      </c>
      <c r="I146" s="1" t="s">
        <v>17</v>
      </c>
      <c r="J146">
        <v>1</v>
      </c>
      <c r="K146" s="1" t="s">
        <v>21</v>
      </c>
      <c r="L146" s="1" t="s">
        <v>16</v>
      </c>
      <c r="M146">
        <v>46</v>
      </c>
      <c r="N146" s="1" t="str" cm="1">
        <f t="array" ref="N146">_xlfn.IFS(M146&lt;40, " Adult", M146&lt;60, "Middle Age", M146&gt;=60, "Older Adult")</f>
        <v>Middle Age</v>
      </c>
      <c r="O146" s="1" t="s">
        <v>14</v>
      </c>
      <c r="P146" s="1">
        <f>IF(O146="Yes", 1)</f>
        <v>1</v>
      </c>
      <c r="Q146" s="1"/>
    </row>
    <row r="147" spans="1:17" x14ac:dyDescent="0.25">
      <c r="A147">
        <v>20851</v>
      </c>
      <c r="B147" s="1" t="s">
        <v>34</v>
      </c>
      <c r="C147" s="1" t="s">
        <v>32</v>
      </c>
      <c r="D147" s="2">
        <v>20000</v>
      </c>
      <c r="E147" s="2" t="str">
        <f>IF(bike_buyers[[#This Row],[Income]]&lt;40000,"Under 40K", IF(bike_buyers[[#This Row],[Income]]&lt;60000,"40K-59K", IF(bike_buyers[[#This Row],[Income]]&lt;80000,"60K-79K", IF(bike_buyers[[#This Row],[Income]]&lt;100000,"80K-99K","100K+"))))</f>
        <v>Under 40K</v>
      </c>
      <c r="F147">
        <v>0</v>
      </c>
      <c r="G147" s="1" t="s">
        <v>18</v>
      </c>
      <c r="H147" s="1" t="s">
        <v>24</v>
      </c>
      <c r="I147" s="1" t="s">
        <v>17</v>
      </c>
      <c r="J147">
        <v>1</v>
      </c>
      <c r="K147" s="1" t="s">
        <v>21</v>
      </c>
      <c r="L147" s="1" t="s">
        <v>16</v>
      </c>
      <c r="M147">
        <v>36</v>
      </c>
      <c r="N147" s="1" t="str" cm="1">
        <f t="array" ref="N147">_xlfn.IFS(M147&lt;40, " Adult", M147&lt;60, "Middle Age", M147&gt;=60, "Older Adult")</f>
        <v xml:space="preserve"> Adult</v>
      </c>
      <c r="O147" s="1" t="s">
        <v>14</v>
      </c>
      <c r="P147" s="1">
        <f>IF(O147="Yes", 1)</f>
        <v>1</v>
      </c>
      <c r="Q147" s="1"/>
    </row>
    <row r="148" spans="1:17" x14ac:dyDescent="0.25">
      <c r="A148">
        <v>13136</v>
      </c>
      <c r="B148" s="1" t="s">
        <v>31</v>
      </c>
      <c r="C148" s="1" t="s">
        <v>33</v>
      </c>
      <c r="D148" s="2">
        <v>30000</v>
      </c>
      <c r="E148" s="2" t="str">
        <f>IF(bike_buyers[[#This Row],[Income]]&lt;40000,"Under 40K", IF(bike_buyers[[#This Row],[Income]]&lt;60000,"40K-59K", IF(bike_buyers[[#This Row],[Income]]&lt;80000,"60K-79K", IF(bike_buyers[[#This Row],[Income]]&lt;100000,"80K-99K","100K+"))))</f>
        <v>Under 40K</v>
      </c>
      <c r="F148">
        <v>2</v>
      </c>
      <c r="G148" s="1" t="s">
        <v>18</v>
      </c>
      <c r="H148" s="1" t="s">
        <v>19</v>
      </c>
      <c r="I148" s="1" t="s">
        <v>17</v>
      </c>
      <c r="J148">
        <v>2</v>
      </c>
      <c r="K148" s="1" t="s">
        <v>22</v>
      </c>
      <c r="L148" s="1" t="s">
        <v>23</v>
      </c>
      <c r="M148">
        <v>69</v>
      </c>
      <c r="N148" s="1" t="str" cm="1">
        <f t="array" ref="N148">_xlfn.IFS(M148&lt;40, " Adult", M148&lt;60, "Middle Age", M148&gt;=60, "Older Adult")</f>
        <v>Older Adult</v>
      </c>
      <c r="O148" s="1" t="s">
        <v>17</v>
      </c>
      <c r="P148" s="1" t="b">
        <f>IF(O148="Yes", 1)</f>
        <v>0</v>
      </c>
      <c r="Q148" s="1"/>
    </row>
    <row r="149" spans="1:17" x14ac:dyDescent="0.25">
      <c r="A149">
        <v>25906</v>
      </c>
      <c r="B149" s="1" t="s">
        <v>34</v>
      </c>
      <c r="C149" s="1" t="s">
        <v>33</v>
      </c>
      <c r="D149" s="2">
        <v>10000</v>
      </c>
      <c r="E149" s="2" t="str">
        <f>IF(bike_buyers[[#This Row],[Income]]&lt;40000,"Under 40K", IF(bike_buyers[[#This Row],[Income]]&lt;60000,"40K-59K", IF(bike_buyers[[#This Row],[Income]]&lt;80000,"60K-79K", IF(bike_buyers[[#This Row],[Income]]&lt;100000,"80K-99K","100K+"))))</f>
        <v>Under 40K</v>
      </c>
      <c r="F149">
        <v>5</v>
      </c>
      <c r="G149" s="1" t="s">
        <v>26</v>
      </c>
      <c r="H149" s="1" t="s">
        <v>13</v>
      </c>
      <c r="I149" s="1" t="s">
        <v>17</v>
      </c>
      <c r="J149">
        <v>2</v>
      </c>
      <c r="K149" s="1" t="s">
        <v>25</v>
      </c>
      <c r="L149" s="1" t="s">
        <v>23</v>
      </c>
      <c r="M149">
        <v>62</v>
      </c>
      <c r="N149" s="1" t="str" cm="1">
        <f t="array" ref="N149">_xlfn.IFS(M149&lt;40, " Adult", M149&lt;60, "Middle Age", M149&gt;=60, "Older Adult")</f>
        <v>Older Adult</v>
      </c>
      <c r="O149" s="1" t="s">
        <v>17</v>
      </c>
      <c r="P149" s="1" t="b">
        <f>IF(O149="Yes", 1)</f>
        <v>0</v>
      </c>
      <c r="Q149" s="1"/>
    </row>
    <row r="150" spans="1:17" x14ac:dyDescent="0.25">
      <c r="A150">
        <v>26928</v>
      </c>
      <c r="B150" s="1" t="s">
        <v>34</v>
      </c>
      <c r="C150" s="1" t="s">
        <v>32</v>
      </c>
      <c r="D150" s="2">
        <v>30000</v>
      </c>
      <c r="E150" s="2" t="str">
        <f>IF(bike_buyers[[#This Row],[Income]]&lt;40000,"Under 40K", IF(bike_buyers[[#This Row],[Income]]&lt;60000,"40K-59K", IF(bike_buyers[[#This Row],[Income]]&lt;80000,"60K-79K", IF(bike_buyers[[#This Row],[Income]]&lt;100000,"80K-99K","100K+"))))</f>
        <v>Under 40K</v>
      </c>
      <c r="F150">
        <v>1</v>
      </c>
      <c r="G150" s="1" t="s">
        <v>12</v>
      </c>
      <c r="H150" s="1" t="s">
        <v>19</v>
      </c>
      <c r="I150" s="1" t="s">
        <v>14</v>
      </c>
      <c r="J150">
        <v>0</v>
      </c>
      <c r="K150" s="1" t="s">
        <v>15</v>
      </c>
      <c r="L150" s="1" t="s">
        <v>16</v>
      </c>
      <c r="M150">
        <v>62</v>
      </c>
      <c r="N150" s="1" t="str" cm="1">
        <f t="array" ref="N150">_xlfn.IFS(M150&lt;40, " Adult", M150&lt;60, "Middle Age", M150&gt;=60, "Older Adult")</f>
        <v>Older Adult</v>
      </c>
      <c r="O150" s="1" t="s">
        <v>14</v>
      </c>
      <c r="P150" s="1">
        <f>IF(O150="Yes", 1)</f>
        <v>1</v>
      </c>
      <c r="Q150" s="1"/>
    </row>
    <row r="151" spans="1:17" x14ac:dyDescent="0.25">
      <c r="A151">
        <v>20897</v>
      </c>
      <c r="B151" s="1" t="s">
        <v>31</v>
      </c>
      <c r="C151" s="1" t="s">
        <v>33</v>
      </c>
      <c r="D151" s="2">
        <v>30000</v>
      </c>
      <c r="E151" s="2" t="str">
        <f>IF(bike_buyers[[#This Row],[Income]]&lt;40000,"Under 40K", IF(bike_buyers[[#This Row],[Income]]&lt;60000,"40K-59K", IF(bike_buyers[[#This Row],[Income]]&lt;80000,"60K-79K", IF(bike_buyers[[#This Row],[Income]]&lt;100000,"80K-99K","100K+"))))</f>
        <v>Under 40K</v>
      </c>
      <c r="F151">
        <v>1</v>
      </c>
      <c r="G151" s="1" t="s">
        <v>12</v>
      </c>
      <c r="H151" s="1" t="s">
        <v>13</v>
      </c>
      <c r="I151" s="1" t="s">
        <v>14</v>
      </c>
      <c r="J151">
        <v>2</v>
      </c>
      <c r="K151" s="1" t="s">
        <v>15</v>
      </c>
      <c r="L151" s="1" t="s">
        <v>16</v>
      </c>
      <c r="M151">
        <v>40</v>
      </c>
      <c r="N151" s="1" t="str" cm="1">
        <f t="array" ref="N151">_xlfn.IFS(M151&lt;40, " Adult", M151&lt;60, "Middle Age", M151&gt;=60, "Older Adult")</f>
        <v>Middle Age</v>
      </c>
      <c r="O151" s="1" t="s">
        <v>17</v>
      </c>
      <c r="P151" s="1" t="b">
        <f>IF(O151="Yes", 1)</f>
        <v>0</v>
      </c>
      <c r="Q151" s="1"/>
    </row>
    <row r="152" spans="1:17" x14ac:dyDescent="0.25">
      <c r="A152">
        <v>25923</v>
      </c>
      <c r="B152" s="1" t="s">
        <v>34</v>
      </c>
      <c r="C152" s="1" t="s">
        <v>32</v>
      </c>
      <c r="D152" s="2">
        <v>10000</v>
      </c>
      <c r="E152" s="2" t="str">
        <f>IF(bike_buyers[[#This Row],[Income]]&lt;40000,"Under 40K", IF(bike_buyers[[#This Row],[Income]]&lt;60000,"40K-59K", IF(bike_buyers[[#This Row],[Income]]&lt;80000,"60K-79K", IF(bike_buyers[[#This Row],[Income]]&lt;100000,"80K-99K","100K+"))))</f>
        <v>Under 40K</v>
      </c>
      <c r="F152">
        <v>2</v>
      </c>
      <c r="G152" s="1" t="s">
        <v>28</v>
      </c>
      <c r="H152" s="1" t="s">
        <v>19</v>
      </c>
      <c r="I152" s="1" t="s">
        <v>14</v>
      </c>
      <c r="J152">
        <v>2</v>
      </c>
      <c r="K152" s="1" t="s">
        <v>22</v>
      </c>
      <c r="L152" s="1" t="s">
        <v>23</v>
      </c>
      <c r="M152">
        <v>58</v>
      </c>
      <c r="N152" s="1" t="str" cm="1">
        <f t="array" ref="N152">_xlfn.IFS(M152&lt;40, " Adult", M152&lt;60, "Middle Age", M152&gt;=60, "Older Adult")</f>
        <v>Middle Age</v>
      </c>
      <c r="O152" s="1" t="s">
        <v>17</v>
      </c>
      <c r="P152" s="1" t="b">
        <f>IF(O152="Yes", 1)</f>
        <v>0</v>
      </c>
      <c r="Q152" s="1"/>
    </row>
    <row r="153" spans="1:17" x14ac:dyDescent="0.25">
      <c r="A153">
        <v>20974</v>
      </c>
      <c r="B153" s="1" t="s">
        <v>31</v>
      </c>
      <c r="C153" s="1" t="s">
        <v>32</v>
      </c>
      <c r="D153" s="2">
        <v>10000</v>
      </c>
      <c r="E153" s="2" t="str">
        <f>IF(bike_buyers[[#This Row],[Income]]&lt;40000,"Under 40K", IF(bike_buyers[[#This Row],[Income]]&lt;60000,"40K-59K", IF(bike_buyers[[#This Row],[Income]]&lt;80000,"60K-79K", IF(bike_buyers[[#This Row],[Income]]&lt;100000,"80K-99K","100K+"))))</f>
        <v>Under 40K</v>
      </c>
      <c r="F153">
        <v>2</v>
      </c>
      <c r="G153" s="1" t="s">
        <v>12</v>
      </c>
      <c r="H153" s="1" t="s">
        <v>19</v>
      </c>
      <c r="I153" s="1" t="s">
        <v>14</v>
      </c>
      <c r="J153">
        <v>1</v>
      </c>
      <c r="K153" s="1" t="s">
        <v>15</v>
      </c>
      <c r="L153" s="1" t="s">
        <v>16</v>
      </c>
      <c r="M153">
        <v>66</v>
      </c>
      <c r="N153" s="1" t="str" cm="1">
        <f t="array" ref="N153">_xlfn.IFS(M153&lt;40, " Adult", M153&lt;60, "Middle Age", M153&gt;=60, "Older Adult")</f>
        <v>Older Adult</v>
      </c>
      <c r="O153" s="1" t="s">
        <v>17</v>
      </c>
      <c r="P153" s="1" t="b">
        <f>IF(O153="Yes", 1)</f>
        <v>0</v>
      </c>
      <c r="Q153" s="1"/>
    </row>
    <row r="154" spans="1:17" x14ac:dyDescent="0.25">
      <c r="A154">
        <v>11381</v>
      </c>
      <c r="B154" s="1" t="s">
        <v>31</v>
      </c>
      <c r="C154" s="1" t="s">
        <v>33</v>
      </c>
      <c r="D154" s="2">
        <v>20000</v>
      </c>
      <c r="E154" s="2" t="str">
        <f>IF(bike_buyers[[#This Row],[Income]]&lt;40000,"Under 40K", IF(bike_buyers[[#This Row],[Income]]&lt;60000,"40K-59K", IF(bike_buyers[[#This Row],[Income]]&lt;80000,"60K-79K", IF(bike_buyers[[#This Row],[Income]]&lt;100000,"80K-99K","100K+"))))</f>
        <v>Under 40K</v>
      </c>
      <c r="F154">
        <v>2</v>
      </c>
      <c r="G154" s="1" t="s">
        <v>18</v>
      </c>
      <c r="H154" s="1" t="s">
        <v>24</v>
      </c>
      <c r="I154" s="1" t="s">
        <v>14</v>
      </c>
      <c r="J154">
        <v>1</v>
      </c>
      <c r="K154" s="1" t="s">
        <v>21</v>
      </c>
      <c r="L154" s="1" t="s">
        <v>16</v>
      </c>
      <c r="M154">
        <v>47</v>
      </c>
      <c r="N154" s="1" t="str" cm="1">
        <f t="array" ref="N154">_xlfn.IFS(M154&lt;40, " Adult", M154&lt;60, "Middle Age", M154&gt;=60, "Older Adult")</f>
        <v>Middle Age</v>
      </c>
      <c r="O154" s="1" t="s">
        <v>14</v>
      </c>
      <c r="P154" s="1">
        <f>IF(O154="Yes", 1)</f>
        <v>1</v>
      </c>
      <c r="Q154" s="1"/>
    </row>
    <row r="155" spans="1:17" x14ac:dyDescent="0.25">
      <c r="A155">
        <v>28102</v>
      </c>
      <c r="B155" s="1" t="s">
        <v>31</v>
      </c>
      <c r="C155" s="1" t="s">
        <v>32</v>
      </c>
      <c r="D155" s="2">
        <v>20000</v>
      </c>
      <c r="E155" s="2" t="str">
        <f>IF(bike_buyers[[#This Row],[Income]]&lt;40000,"Under 40K", IF(bike_buyers[[#This Row],[Income]]&lt;60000,"40K-59K", IF(bike_buyers[[#This Row],[Income]]&lt;80000,"60K-79K", IF(bike_buyers[[#This Row],[Income]]&lt;100000,"80K-99K","100K+"))))</f>
        <v>Under 40K</v>
      </c>
      <c r="F155">
        <v>4</v>
      </c>
      <c r="G155" s="1" t="s">
        <v>26</v>
      </c>
      <c r="H155" s="1" t="s">
        <v>13</v>
      </c>
      <c r="I155" s="1" t="s">
        <v>14</v>
      </c>
      <c r="J155">
        <v>2</v>
      </c>
      <c r="K155" s="1" t="s">
        <v>22</v>
      </c>
      <c r="L155" s="1" t="s">
        <v>23</v>
      </c>
      <c r="M155">
        <v>58</v>
      </c>
      <c r="N155" s="1" t="str" cm="1">
        <f t="array" ref="N155">_xlfn.IFS(M155&lt;40, " Adult", M155&lt;60, "Middle Age", M155&gt;=60, "Older Adult")</f>
        <v>Middle Age</v>
      </c>
      <c r="O155" s="1" t="s">
        <v>14</v>
      </c>
      <c r="P155" s="1">
        <f>IF(O155="Yes", 1)</f>
        <v>1</v>
      </c>
      <c r="Q155" s="1"/>
    </row>
    <row r="156" spans="1:17" x14ac:dyDescent="0.25">
      <c r="A156">
        <v>14154</v>
      </c>
      <c r="B156" s="1" t="s">
        <v>31</v>
      </c>
      <c r="C156" s="1" t="s">
        <v>32</v>
      </c>
      <c r="D156" s="2">
        <v>30000</v>
      </c>
      <c r="E156" s="2" t="str">
        <f>IF(bike_buyers[[#This Row],[Income]]&lt;40000,"Under 40K", IF(bike_buyers[[#This Row],[Income]]&lt;60000,"40K-59K", IF(bike_buyers[[#This Row],[Income]]&lt;80000,"60K-79K", IF(bike_buyers[[#This Row],[Income]]&lt;100000,"80K-99K","100K+"))))</f>
        <v>Under 40K</v>
      </c>
      <c r="F156">
        <v>0</v>
      </c>
      <c r="G156" s="1" t="s">
        <v>12</v>
      </c>
      <c r="H156" s="1" t="s">
        <v>19</v>
      </c>
      <c r="I156" s="1" t="s">
        <v>14</v>
      </c>
      <c r="J156">
        <v>0</v>
      </c>
      <c r="K156" s="1" t="s">
        <v>15</v>
      </c>
      <c r="L156" s="1" t="s">
        <v>16</v>
      </c>
      <c r="M156">
        <v>35</v>
      </c>
      <c r="N156" s="1" t="str" cm="1">
        <f t="array" ref="N156">_xlfn.IFS(M156&lt;40, " Adult", M156&lt;60, "Middle Age", M156&gt;=60, "Older Adult")</f>
        <v xml:space="preserve"> Adult</v>
      </c>
      <c r="O156" s="1" t="s">
        <v>14</v>
      </c>
      <c r="P156" s="1">
        <f>IF(O156="Yes", 1)</f>
        <v>1</v>
      </c>
      <c r="Q156" s="1"/>
    </row>
    <row r="157" spans="1:17" x14ac:dyDescent="0.25">
      <c r="A157">
        <v>11386</v>
      </c>
      <c r="B157" s="1" t="s">
        <v>31</v>
      </c>
      <c r="C157" s="1" t="s">
        <v>33</v>
      </c>
      <c r="D157" s="2">
        <v>30000</v>
      </c>
      <c r="E157" s="2" t="str">
        <f>IF(bike_buyers[[#This Row],[Income]]&lt;40000,"Under 40K", IF(bike_buyers[[#This Row],[Income]]&lt;60000,"40K-59K", IF(bike_buyers[[#This Row],[Income]]&lt;80000,"60K-79K", IF(bike_buyers[[#This Row],[Income]]&lt;100000,"80K-99K","100K+"))))</f>
        <v>Under 40K</v>
      </c>
      <c r="F157">
        <v>3</v>
      </c>
      <c r="G157" s="1" t="s">
        <v>12</v>
      </c>
      <c r="H157" s="1" t="s">
        <v>19</v>
      </c>
      <c r="I157" s="1" t="s">
        <v>14</v>
      </c>
      <c r="J157">
        <v>0</v>
      </c>
      <c r="K157" s="1" t="s">
        <v>15</v>
      </c>
      <c r="L157" s="1" t="s">
        <v>16</v>
      </c>
      <c r="M157">
        <v>45</v>
      </c>
      <c r="N157" s="1" t="str" cm="1">
        <f t="array" ref="N157">_xlfn.IFS(M157&lt;40, " Adult", M157&lt;60, "Middle Age", M157&gt;=60, "Older Adult")</f>
        <v>Middle Age</v>
      </c>
      <c r="O157" s="1" t="s">
        <v>17</v>
      </c>
      <c r="P157" s="1" t="b">
        <f>IF(O157="Yes", 1)</f>
        <v>0</v>
      </c>
      <c r="Q157" s="1"/>
    </row>
    <row r="158" spans="1:17" x14ac:dyDescent="0.25">
      <c r="A158">
        <v>16410</v>
      </c>
      <c r="B158" s="1" t="s">
        <v>34</v>
      </c>
      <c r="C158" s="1" t="s">
        <v>33</v>
      </c>
      <c r="D158" s="2">
        <v>10000</v>
      </c>
      <c r="E158" s="2" t="str">
        <f>IF(bike_buyers[[#This Row],[Income]]&lt;40000,"Under 40K", IF(bike_buyers[[#This Row],[Income]]&lt;60000,"40K-59K", IF(bike_buyers[[#This Row],[Income]]&lt;80000,"60K-79K", IF(bike_buyers[[#This Row],[Income]]&lt;100000,"80K-99K","100K+"))))</f>
        <v>Under 40K</v>
      </c>
      <c r="F158">
        <v>4</v>
      </c>
      <c r="G158" s="1" t="s">
        <v>28</v>
      </c>
      <c r="H158" s="1" t="s">
        <v>24</v>
      </c>
      <c r="I158" s="1" t="s">
        <v>14</v>
      </c>
      <c r="J158">
        <v>2</v>
      </c>
      <c r="K158" s="1" t="s">
        <v>15</v>
      </c>
      <c r="L158" s="1" t="s">
        <v>16</v>
      </c>
      <c r="M158">
        <v>41</v>
      </c>
      <c r="N158" s="1" t="str" cm="1">
        <f t="array" ref="N158">_xlfn.IFS(M158&lt;40, " Adult", M158&lt;60, "Middle Age", M158&gt;=60, "Older Adult")</f>
        <v>Middle Age</v>
      </c>
      <c r="O158" s="1" t="s">
        <v>14</v>
      </c>
      <c r="P158" s="1">
        <f>IF(O158="Yes", 1)</f>
        <v>1</v>
      </c>
      <c r="Q158" s="1"/>
    </row>
    <row r="159" spans="1:17" x14ac:dyDescent="0.25">
      <c r="A159">
        <v>20994</v>
      </c>
      <c r="B159" s="1" t="s">
        <v>31</v>
      </c>
      <c r="C159" s="1" t="s">
        <v>33</v>
      </c>
      <c r="D159" s="2">
        <v>20000</v>
      </c>
      <c r="E159" s="2" t="str">
        <f>IF(bike_buyers[[#This Row],[Income]]&lt;40000,"Under 40K", IF(bike_buyers[[#This Row],[Income]]&lt;60000,"40K-59K", IF(bike_buyers[[#This Row],[Income]]&lt;80000,"60K-79K", IF(bike_buyers[[#This Row],[Income]]&lt;100000,"80K-99K","100K+"))))</f>
        <v>Under 40K</v>
      </c>
      <c r="F159">
        <v>0</v>
      </c>
      <c r="G159" s="1" t="s">
        <v>12</v>
      </c>
      <c r="H159" s="1" t="s">
        <v>19</v>
      </c>
      <c r="I159" s="1" t="s">
        <v>17</v>
      </c>
      <c r="J159">
        <v>0</v>
      </c>
      <c r="K159" s="1" t="s">
        <v>15</v>
      </c>
      <c r="L159" s="1" t="s">
        <v>23</v>
      </c>
      <c r="M159">
        <v>26</v>
      </c>
      <c r="N159" s="1" t="str" cm="1">
        <f t="array" ref="N159">_xlfn.IFS(M159&lt;40, " Adult", M159&lt;60, "Middle Age", M159&gt;=60, "Older Adult")</f>
        <v xml:space="preserve"> Adult</v>
      </c>
      <c r="O159" s="1" t="s">
        <v>14</v>
      </c>
      <c r="P159" s="1">
        <f>IF(O159="Yes", 1)</f>
        <v>1</v>
      </c>
      <c r="Q159" s="1"/>
    </row>
    <row r="160" spans="1:17" x14ac:dyDescent="0.25">
      <c r="A160">
        <v>28379</v>
      </c>
      <c r="B160" s="1" t="s">
        <v>31</v>
      </c>
      <c r="C160" s="1" t="s">
        <v>32</v>
      </c>
      <c r="D160" s="2">
        <v>30000</v>
      </c>
      <c r="E160" s="2" t="str">
        <f>IF(bike_buyers[[#This Row],[Income]]&lt;40000,"Under 40K", IF(bike_buyers[[#This Row],[Income]]&lt;60000,"40K-59K", IF(bike_buyers[[#This Row],[Income]]&lt;80000,"60K-79K", IF(bike_buyers[[#This Row],[Income]]&lt;100000,"80K-99K","100K+"))))</f>
        <v>Under 40K</v>
      </c>
      <c r="F160">
        <v>1</v>
      </c>
      <c r="G160" s="1" t="s">
        <v>12</v>
      </c>
      <c r="H160" s="1" t="s">
        <v>13</v>
      </c>
      <c r="I160" s="1" t="s">
        <v>14</v>
      </c>
      <c r="J160">
        <v>2</v>
      </c>
      <c r="K160" s="1" t="s">
        <v>15</v>
      </c>
      <c r="L160" s="1" t="s">
        <v>16</v>
      </c>
      <c r="M160">
        <v>40</v>
      </c>
      <c r="N160" s="1" t="str" cm="1">
        <f t="array" ref="N160">_xlfn.IFS(M160&lt;40, " Adult", M160&lt;60, "Middle Age", M160&gt;=60, "Older Adult")</f>
        <v>Middle Age</v>
      </c>
      <c r="O160" s="1" t="s">
        <v>17</v>
      </c>
      <c r="P160" s="1" t="b">
        <f>IF(O160="Yes", 1)</f>
        <v>0</v>
      </c>
      <c r="Q160" s="1"/>
    </row>
    <row r="161" spans="1:17" x14ac:dyDescent="0.25">
      <c r="A161">
        <v>19508</v>
      </c>
      <c r="B161" s="1" t="s">
        <v>31</v>
      </c>
      <c r="C161" s="1" t="s">
        <v>32</v>
      </c>
      <c r="D161" s="2">
        <v>10000</v>
      </c>
      <c r="E161" s="2" t="str">
        <f>IF(bike_buyers[[#This Row],[Income]]&lt;40000,"Under 40K", IF(bike_buyers[[#This Row],[Income]]&lt;60000,"40K-59K", IF(bike_buyers[[#This Row],[Income]]&lt;80000,"60K-79K", IF(bike_buyers[[#This Row],[Income]]&lt;100000,"80K-99K","100K+"))))</f>
        <v>Under 40K</v>
      </c>
      <c r="F161">
        <v>0</v>
      </c>
      <c r="G161" s="1" t="s">
        <v>28</v>
      </c>
      <c r="H161" s="1" t="s">
        <v>24</v>
      </c>
      <c r="I161" s="1" t="s">
        <v>17</v>
      </c>
      <c r="J161">
        <v>2</v>
      </c>
      <c r="K161" s="1" t="s">
        <v>15</v>
      </c>
      <c r="L161" s="1" t="s">
        <v>16</v>
      </c>
      <c r="M161">
        <v>30</v>
      </c>
      <c r="N161" s="1" t="str" cm="1">
        <f t="array" ref="N161">_xlfn.IFS(M161&lt;40, " Adult", M161&lt;60, "Middle Age", M161&gt;=60, "Older Adult")</f>
        <v xml:space="preserve"> Adult</v>
      </c>
      <c r="O161" s="1" t="s">
        <v>17</v>
      </c>
      <c r="P161" s="1" t="b">
        <f>IF(O161="Yes", 1)</f>
        <v>0</v>
      </c>
      <c r="Q161" s="1"/>
    </row>
    <row r="162" spans="1:17" x14ac:dyDescent="0.25">
      <c r="A162">
        <v>11489</v>
      </c>
      <c r="B162" s="1" t="s">
        <v>34</v>
      </c>
      <c r="C162" s="1" t="s">
        <v>33</v>
      </c>
      <c r="D162" s="2">
        <v>20000</v>
      </c>
      <c r="E162" s="2" t="str">
        <f>IF(bike_buyers[[#This Row],[Income]]&lt;40000,"Under 40K", IF(bike_buyers[[#This Row],[Income]]&lt;60000,"40K-59K", IF(bike_buyers[[#This Row],[Income]]&lt;80000,"60K-79K", IF(bike_buyers[[#This Row],[Income]]&lt;100000,"80K-99K","100K+"))))</f>
        <v>Under 40K</v>
      </c>
      <c r="F162">
        <v>0</v>
      </c>
      <c r="G162" s="1" t="s">
        <v>28</v>
      </c>
      <c r="H162" s="1" t="s">
        <v>24</v>
      </c>
      <c r="I162" s="1" t="s">
        <v>17</v>
      </c>
      <c r="J162">
        <v>2</v>
      </c>
      <c r="K162" s="1" t="s">
        <v>25</v>
      </c>
      <c r="L162" s="1" t="s">
        <v>16</v>
      </c>
      <c r="M162">
        <v>35</v>
      </c>
      <c r="N162" s="1" t="str" cm="1">
        <f t="array" ref="N162">_xlfn.IFS(M162&lt;40, " Adult", M162&lt;60, "Middle Age", M162&gt;=60, "Older Adult")</f>
        <v xml:space="preserve"> Adult</v>
      </c>
      <c r="O162" s="1" t="s">
        <v>14</v>
      </c>
      <c r="P162" s="1">
        <f>IF(O162="Yes", 1)</f>
        <v>1</v>
      </c>
      <c r="Q162" s="1"/>
    </row>
    <row r="163" spans="1:17" x14ac:dyDescent="0.25">
      <c r="A163">
        <v>27165</v>
      </c>
      <c r="B163" s="1" t="s">
        <v>34</v>
      </c>
      <c r="C163" s="1" t="s">
        <v>32</v>
      </c>
      <c r="D163" s="2">
        <v>20000</v>
      </c>
      <c r="E163" s="2" t="str">
        <f>IF(bike_buyers[[#This Row],[Income]]&lt;40000,"Under 40K", IF(bike_buyers[[#This Row],[Income]]&lt;60000,"40K-59K", IF(bike_buyers[[#This Row],[Income]]&lt;80000,"60K-79K", IF(bike_buyers[[#This Row],[Income]]&lt;100000,"80K-99K","100K+"))))</f>
        <v>Under 40K</v>
      </c>
      <c r="F163">
        <v>0</v>
      </c>
      <c r="G163" s="1" t="s">
        <v>28</v>
      </c>
      <c r="H163" s="1" t="s">
        <v>24</v>
      </c>
      <c r="I163" s="1" t="s">
        <v>17</v>
      </c>
      <c r="J163">
        <v>2</v>
      </c>
      <c r="K163" s="1" t="s">
        <v>15</v>
      </c>
      <c r="L163" s="1" t="s">
        <v>16</v>
      </c>
      <c r="M163">
        <v>34</v>
      </c>
      <c r="N163" s="1" t="str" cm="1">
        <f t="array" ref="N163">_xlfn.IFS(M163&lt;40, " Adult", M163&lt;60, "Middle Age", M163&gt;=60, "Older Adult")</f>
        <v xml:space="preserve"> Adult</v>
      </c>
      <c r="O163" s="1" t="s">
        <v>17</v>
      </c>
      <c r="P163" s="1" t="b">
        <f>IF(O163="Yes", 1)</f>
        <v>0</v>
      </c>
      <c r="Q163" s="1"/>
    </row>
    <row r="164" spans="1:17" x14ac:dyDescent="0.25">
      <c r="A164">
        <v>29424</v>
      </c>
      <c r="B164" s="1" t="s">
        <v>31</v>
      </c>
      <c r="C164" s="1" t="s">
        <v>32</v>
      </c>
      <c r="D164" s="2">
        <v>10000</v>
      </c>
      <c r="E164" s="2" t="str">
        <f>IF(bike_buyers[[#This Row],[Income]]&lt;40000,"Under 40K", IF(bike_buyers[[#This Row],[Income]]&lt;60000,"40K-59K", IF(bike_buyers[[#This Row],[Income]]&lt;80000,"60K-79K", IF(bike_buyers[[#This Row],[Income]]&lt;100000,"80K-99K","100K+"))))</f>
        <v>Under 40K</v>
      </c>
      <c r="F164">
        <v>0</v>
      </c>
      <c r="G164" s="1" t="s">
        <v>28</v>
      </c>
      <c r="H164" s="1" t="s">
        <v>24</v>
      </c>
      <c r="I164" s="1" t="s">
        <v>14</v>
      </c>
      <c r="J164">
        <v>2</v>
      </c>
      <c r="K164" s="1" t="s">
        <v>15</v>
      </c>
      <c r="L164" s="1" t="s">
        <v>16</v>
      </c>
      <c r="M164">
        <v>32</v>
      </c>
      <c r="N164" s="1" t="str" cm="1">
        <f t="array" ref="N164">_xlfn.IFS(M164&lt;40, " Adult", M164&lt;60, "Middle Age", M164&gt;=60, "Older Adult")</f>
        <v xml:space="preserve"> Adult</v>
      </c>
      <c r="O164" s="1" t="s">
        <v>17</v>
      </c>
      <c r="P164" s="1" t="b">
        <f>IF(O164="Yes", 1)</f>
        <v>0</v>
      </c>
      <c r="Q164" s="1"/>
    </row>
    <row r="165" spans="1:17" x14ac:dyDescent="0.25">
      <c r="A165">
        <v>14554</v>
      </c>
      <c r="B165" s="1" t="s">
        <v>31</v>
      </c>
      <c r="C165" s="1" t="s">
        <v>32</v>
      </c>
      <c r="D165" s="2">
        <v>20000</v>
      </c>
      <c r="E165" s="2" t="str">
        <f>IF(bike_buyers[[#This Row],[Income]]&lt;40000,"Under 40K", IF(bike_buyers[[#This Row],[Income]]&lt;60000,"40K-59K", IF(bike_buyers[[#This Row],[Income]]&lt;80000,"60K-79K", IF(bike_buyers[[#This Row],[Income]]&lt;100000,"80K-99K","100K+"))))</f>
        <v>Under 40K</v>
      </c>
      <c r="F165">
        <v>1</v>
      </c>
      <c r="G165" s="1" t="s">
        <v>12</v>
      </c>
      <c r="H165" s="1" t="s">
        <v>19</v>
      </c>
      <c r="I165" s="1" t="s">
        <v>14</v>
      </c>
      <c r="J165">
        <v>0</v>
      </c>
      <c r="K165" s="1" t="s">
        <v>15</v>
      </c>
      <c r="L165" s="1" t="s">
        <v>16</v>
      </c>
      <c r="M165">
        <v>66</v>
      </c>
      <c r="N165" s="1" t="str" cm="1">
        <f t="array" ref="N165">_xlfn.IFS(M165&lt;40, " Adult", M165&lt;60, "Middle Age", M165&gt;=60, "Older Adult")</f>
        <v>Older Adult</v>
      </c>
      <c r="O165" s="1" t="s">
        <v>17</v>
      </c>
      <c r="P165" s="1" t="b">
        <f>IF(O165="Yes", 1)</f>
        <v>0</v>
      </c>
      <c r="Q165" s="1"/>
    </row>
    <row r="166" spans="1:17" x14ac:dyDescent="0.25">
      <c r="A166">
        <v>16468</v>
      </c>
      <c r="B166" s="1" t="s">
        <v>34</v>
      </c>
      <c r="C166" s="1" t="s">
        <v>32</v>
      </c>
      <c r="D166" s="2">
        <v>30000</v>
      </c>
      <c r="E166" s="2" t="str">
        <f>IF(bike_buyers[[#This Row],[Income]]&lt;40000,"Under 40K", IF(bike_buyers[[#This Row],[Income]]&lt;60000,"40K-59K", IF(bike_buyers[[#This Row],[Income]]&lt;80000,"60K-79K", IF(bike_buyers[[#This Row],[Income]]&lt;100000,"80K-99K","100K+"))))</f>
        <v>Under 40K</v>
      </c>
      <c r="F166">
        <v>0</v>
      </c>
      <c r="G166" s="1" t="s">
        <v>18</v>
      </c>
      <c r="H166" s="1" t="s">
        <v>19</v>
      </c>
      <c r="I166" s="1" t="s">
        <v>14</v>
      </c>
      <c r="J166">
        <v>1</v>
      </c>
      <c r="K166" s="1" t="s">
        <v>21</v>
      </c>
      <c r="L166" s="1" t="s">
        <v>16</v>
      </c>
      <c r="M166">
        <v>30</v>
      </c>
      <c r="N166" s="1" t="str" cm="1">
        <f t="array" ref="N166">_xlfn.IFS(M166&lt;40, " Adult", M166&lt;60, "Middle Age", M166&gt;=60, "Older Adult")</f>
        <v xml:space="preserve"> Adult</v>
      </c>
      <c r="O166" s="1" t="s">
        <v>17</v>
      </c>
      <c r="P166" s="1" t="b">
        <f>IF(O166="Yes", 1)</f>
        <v>0</v>
      </c>
      <c r="Q166" s="1"/>
    </row>
    <row r="167" spans="1:17" x14ac:dyDescent="0.25">
      <c r="A167">
        <v>19174</v>
      </c>
      <c r="B167" s="1" t="s">
        <v>34</v>
      </c>
      <c r="C167" s="1" t="s">
        <v>33</v>
      </c>
      <c r="D167" s="2">
        <v>30000</v>
      </c>
      <c r="E167" s="2" t="str">
        <f>IF(bike_buyers[[#This Row],[Income]]&lt;40000,"Under 40K", IF(bike_buyers[[#This Row],[Income]]&lt;60000,"40K-59K", IF(bike_buyers[[#This Row],[Income]]&lt;80000,"60K-79K", IF(bike_buyers[[#This Row],[Income]]&lt;100000,"80K-99K","100K+"))))</f>
        <v>Under 40K</v>
      </c>
      <c r="F167">
        <v>0</v>
      </c>
      <c r="G167" s="1" t="s">
        <v>26</v>
      </c>
      <c r="H167" s="1" t="s">
        <v>24</v>
      </c>
      <c r="I167" s="1" t="s">
        <v>17</v>
      </c>
      <c r="J167">
        <v>1</v>
      </c>
      <c r="K167" s="1" t="s">
        <v>21</v>
      </c>
      <c r="L167" s="1" t="s">
        <v>16</v>
      </c>
      <c r="M167">
        <v>32</v>
      </c>
      <c r="N167" s="1" t="str" cm="1">
        <f t="array" ref="N167">_xlfn.IFS(M167&lt;40, " Adult", M167&lt;60, "Middle Age", M167&gt;=60, "Older Adult")</f>
        <v xml:space="preserve"> Adult</v>
      </c>
      <c r="O167" s="1" t="s">
        <v>14</v>
      </c>
      <c r="P167" s="1">
        <f>IF(O167="Yes", 1)</f>
        <v>1</v>
      </c>
      <c r="Q167" s="1"/>
    </row>
    <row r="168" spans="1:17" x14ac:dyDescent="0.25">
      <c r="A168">
        <v>19183</v>
      </c>
      <c r="B168" s="1" t="s">
        <v>34</v>
      </c>
      <c r="C168" s="1" t="s">
        <v>32</v>
      </c>
      <c r="D168" s="2">
        <v>10000</v>
      </c>
      <c r="E168" s="2" t="str">
        <f>IF(bike_buyers[[#This Row],[Income]]&lt;40000,"Under 40K", IF(bike_buyers[[#This Row],[Income]]&lt;60000,"40K-59K", IF(bike_buyers[[#This Row],[Income]]&lt;80000,"60K-79K", IF(bike_buyers[[#This Row],[Income]]&lt;100000,"80K-99K","100K+"))))</f>
        <v>Under 40K</v>
      </c>
      <c r="F168">
        <v>0</v>
      </c>
      <c r="G168" s="1" t="s">
        <v>28</v>
      </c>
      <c r="H168" s="1" t="s">
        <v>24</v>
      </c>
      <c r="I168" s="1" t="s">
        <v>14</v>
      </c>
      <c r="J168">
        <v>2</v>
      </c>
      <c r="K168" s="1" t="s">
        <v>25</v>
      </c>
      <c r="L168" s="1" t="s">
        <v>16</v>
      </c>
      <c r="M168">
        <v>35</v>
      </c>
      <c r="N168" s="1" t="str" cm="1">
        <f t="array" ref="N168">_xlfn.IFS(M168&lt;40, " Adult", M168&lt;60, "Middle Age", M168&gt;=60, "Older Adult")</f>
        <v xml:space="preserve"> Adult</v>
      </c>
      <c r="O168" s="1" t="s">
        <v>17</v>
      </c>
      <c r="P168" s="1" t="b">
        <f>IF(O168="Yes", 1)</f>
        <v>0</v>
      </c>
      <c r="Q168" s="1"/>
    </row>
    <row r="169" spans="1:17" x14ac:dyDescent="0.25">
      <c r="A169">
        <v>13683</v>
      </c>
      <c r="B169" s="1" t="s">
        <v>34</v>
      </c>
      <c r="C169" s="1" t="s">
        <v>33</v>
      </c>
      <c r="D169" s="2">
        <v>30000</v>
      </c>
      <c r="E169" s="2" t="str">
        <f>IF(bike_buyers[[#This Row],[Income]]&lt;40000,"Under 40K", IF(bike_buyers[[#This Row],[Income]]&lt;60000,"40K-59K", IF(bike_buyers[[#This Row],[Income]]&lt;80000,"60K-79K", IF(bike_buyers[[#This Row],[Income]]&lt;100000,"80K-99K","100K+"))))</f>
        <v>Under 40K</v>
      </c>
      <c r="F169">
        <v>0</v>
      </c>
      <c r="G169" s="1" t="s">
        <v>26</v>
      </c>
      <c r="H169" s="1" t="s">
        <v>24</v>
      </c>
      <c r="I169" s="1" t="s">
        <v>17</v>
      </c>
      <c r="J169">
        <v>1</v>
      </c>
      <c r="K169" s="1" t="s">
        <v>21</v>
      </c>
      <c r="L169" s="1" t="s">
        <v>16</v>
      </c>
      <c r="M169">
        <v>32</v>
      </c>
      <c r="N169" s="1" t="str" cm="1">
        <f t="array" ref="N169">_xlfn.IFS(M169&lt;40, " Adult", M169&lt;60, "Middle Age", M169&gt;=60, "Older Adult")</f>
        <v xml:space="preserve"> Adult</v>
      </c>
      <c r="O169" s="1" t="s">
        <v>17</v>
      </c>
      <c r="P169" s="1" t="b">
        <f>IF(O169="Yes", 1)</f>
        <v>0</v>
      </c>
      <c r="Q169" s="1"/>
    </row>
    <row r="170" spans="1:17" x14ac:dyDescent="0.25">
      <c r="A170">
        <v>17848</v>
      </c>
      <c r="B170" s="1" t="s">
        <v>34</v>
      </c>
      <c r="C170" s="1" t="s">
        <v>32</v>
      </c>
      <c r="D170" s="2">
        <v>30000</v>
      </c>
      <c r="E170" s="2" t="str">
        <f>IF(bike_buyers[[#This Row],[Income]]&lt;40000,"Under 40K", IF(bike_buyers[[#This Row],[Income]]&lt;60000,"40K-59K", IF(bike_buyers[[#This Row],[Income]]&lt;80000,"60K-79K", IF(bike_buyers[[#This Row],[Income]]&lt;100000,"80K-99K","100K+"))))</f>
        <v>Under 40K</v>
      </c>
      <c r="F170">
        <v>0</v>
      </c>
      <c r="G170" s="1" t="s">
        <v>18</v>
      </c>
      <c r="H170" s="1" t="s">
        <v>19</v>
      </c>
      <c r="I170" s="1" t="s">
        <v>17</v>
      </c>
      <c r="J170">
        <v>1</v>
      </c>
      <c r="K170" s="1" t="s">
        <v>21</v>
      </c>
      <c r="L170" s="1" t="s">
        <v>16</v>
      </c>
      <c r="M170">
        <v>31</v>
      </c>
      <c r="N170" s="1" t="str" cm="1">
        <f t="array" ref="N170">_xlfn.IFS(M170&lt;40, " Adult", M170&lt;60, "Middle Age", M170&gt;=60, "Older Adult")</f>
        <v xml:space="preserve"> Adult</v>
      </c>
      <c r="O170" s="1" t="s">
        <v>14</v>
      </c>
      <c r="P170" s="1">
        <f>IF(O170="Yes", 1)</f>
        <v>1</v>
      </c>
      <c r="Q170" s="1"/>
    </row>
    <row r="171" spans="1:17" x14ac:dyDescent="0.25">
      <c r="A171">
        <v>17894</v>
      </c>
      <c r="B171" s="1" t="s">
        <v>31</v>
      </c>
      <c r="C171" s="1" t="s">
        <v>33</v>
      </c>
      <c r="D171" s="2">
        <v>20000</v>
      </c>
      <c r="E171" s="2" t="str">
        <f>IF(bike_buyers[[#This Row],[Income]]&lt;40000,"Under 40K", IF(bike_buyers[[#This Row],[Income]]&lt;60000,"40K-59K", IF(bike_buyers[[#This Row],[Income]]&lt;80000,"60K-79K", IF(bike_buyers[[#This Row],[Income]]&lt;100000,"80K-99K","100K+"))))</f>
        <v>Under 40K</v>
      </c>
      <c r="F171">
        <v>1</v>
      </c>
      <c r="G171" s="1" t="s">
        <v>12</v>
      </c>
      <c r="H171" s="1" t="s">
        <v>19</v>
      </c>
      <c r="I171" s="1" t="s">
        <v>14</v>
      </c>
      <c r="J171">
        <v>0</v>
      </c>
      <c r="K171" s="1" t="s">
        <v>15</v>
      </c>
      <c r="L171" s="1" t="s">
        <v>16</v>
      </c>
      <c r="M171">
        <v>50</v>
      </c>
      <c r="N171" s="1" t="str" cm="1">
        <f t="array" ref="N171">_xlfn.IFS(M171&lt;40, " Adult", M171&lt;60, "Middle Age", M171&gt;=60, "Older Adult")</f>
        <v>Middle Age</v>
      </c>
      <c r="O171" s="1" t="s">
        <v>14</v>
      </c>
      <c r="P171" s="1">
        <f>IF(O171="Yes", 1)</f>
        <v>1</v>
      </c>
      <c r="Q171" s="1"/>
    </row>
    <row r="172" spans="1:17" x14ac:dyDescent="0.25">
      <c r="A172">
        <v>23915</v>
      </c>
      <c r="B172" s="1" t="s">
        <v>31</v>
      </c>
      <c r="C172" s="1" t="s">
        <v>32</v>
      </c>
      <c r="D172" s="2">
        <v>20000</v>
      </c>
      <c r="E172" s="2" t="str">
        <f>IF(bike_buyers[[#This Row],[Income]]&lt;40000,"Under 40K", IF(bike_buyers[[#This Row],[Income]]&lt;60000,"40K-59K", IF(bike_buyers[[#This Row],[Income]]&lt;80000,"60K-79K", IF(bike_buyers[[#This Row],[Income]]&lt;100000,"80K-99K","100K+"))))</f>
        <v>Under 40K</v>
      </c>
      <c r="F172">
        <v>2</v>
      </c>
      <c r="G172" s="1" t="s">
        <v>26</v>
      </c>
      <c r="H172" s="1" t="s">
        <v>24</v>
      </c>
      <c r="I172" s="1" t="s">
        <v>14</v>
      </c>
      <c r="J172">
        <v>2</v>
      </c>
      <c r="K172" s="1" t="s">
        <v>15</v>
      </c>
      <c r="L172" s="1" t="s">
        <v>16</v>
      </c>
      <c r="M172">
        <v>42</v>
      </c>
      <c r="N172" s="1" t="str" cm="1">
        <f t="array" ref="N172">_xlfn.IFS(M172&lt;40, " Adult", M172&lt;60, "Middle Age", M172&gt;=60, "Older Adult")</f>
        <v>Middle Age</v>
      </c>
      <c r="O172" s="1" t="s">
        <v>17</v>
      </c>
      <c r="P172" s="1" t="b">
        <f>IF(O172="Yes", 1)</f>
        <v>0</v>
      </c>
      <c r="Q172" s="1"/>
    </row>
    <row r="173" spans="1:17" x14ac:dyDescent="0.25">
      <c r="A173">
        <v>24121</v>
      </c>
      <c r="B173" s="1" t="s">
        <v>34</v>
      </c>
      <c r="C173" s="1" t="s">
        <v>33</v>
      </c>
      <c r="D173" s="2">
        <v>30000</v>
      </c>
      <c r="E173" s="2" t="str">
        <f>IF(bike_buyers[[#This Row],[Income]]&lt;40000,"Under 40K", IF(bike_buyers[[#This Row],[Income]]&lt;60000,"40K-59K", IF(bike_buyers[[#This Row],[Income]]&lt;80000,"60K-79K", IF(bike_buyers[[#This Row],[Income]]&lt;100000,"80K-99K","100K+"))))</f>
        <v>Under 40K</v>
      </c>
      <c r="F173">
        <v>0</v>
      </c>
      <c r="G173" s="1" t="s">
        <v>18</v>
      </c>
      <c r="H173" s="1" t="s">
        <v>19</v>
      </c>
      <c r="I173" s="1" t="s">
        <v>17</v>
      </c>
      <c r="J173">
        <v>1</v>
      </c>
      <c r="K173" s="1" t="s">
        <v>15</v>
      </c>
      <c r="L173" s="1" t="s">
        <v>16</v>
      </c>
      <c r="M173">
        <v>29</v>
      </c>
      <c r="N173" s="1" t="str" cm="1">
        <f t="array" ref="N173">_xlfn.IFS(M173&lt;40, " Adult", M173&lt;60, "Middle Age", M173&gt;=60, "Older Adult")</f>
        <v xml:space="preserve"> Adult</v>
      </c>
      <c r="O173" s="1" t="s">
        <v>14</v>
      </c>
      <c r="P173" s="1">
        <f>IF(O173="Yes", 1)</f>
        <v>1</v>
      </c>
      <c r="Q173" s="1"/>
    </row>
    <row r="174" spans="1:17" x14ac:dyDescent="0.25">
      <c r="A174">
        <v>27878</v>
      </c>
      <c r="B174" s="1" t="s">
        <v>34</v>
      </c>
      <c r="C174" s="1" t="s">
        <v>32</v>
      </c>
      <c r="D174" s="2">
        <v>20000</v>
      </c>
      <c r="E174" s="2" t="str">
        <f>IF(bike_buyers[[#This Row],[Income]]&lt;40000,"Under 40K", IF(bike_buyers[[#This Row],[Income]]&lt;60000,"40K-59K", IF(bike_buyers[[#This Row],[Income]]&lt;80000,"60K-79K", IF(bike_buyers[[#This Row],[Income]]&lt;100000,"80K-99K","100K+"))))</f>
        <v>Under 40K</v>
      </c>
      <c r="F174">
        <v>0</v>
      </c>
      <c r="G174" s="1" t="s">
        <v>18</v>
      </c>
      <c r="H174" s="1" t="s">
        <v>24</v>
      </c>
      <c r="I174" s="1" t="s">
        <v>17</v>
      </c>
      <c r="J174">
        <v>0</v>
      </c>
      <c r="K174" s="1" t="s">
        <v>15</v>
      </c>
      <c r="L174" s="1" t="s">
        <v>23</v>
      </c>
      <c r="M174">
        <v>28</v>
      </c>
      <c r="N174" s="1" t="str" cm="1">
        <f t="array" ref="N174">_xlfn.IFS(M174&lt;40, " Adult", M174&lt;60, "Middle Age", M174&gt;=60, "Older Adult")</f>
        <v xml:space="preserve"> Adult</v>
      </c>
      <c r="O174" s="1" t="s">
        <v>14</v>
      </c>
      <c r="P174" s="1">
        <f>IF(O174="Yes", 1)</f>
        <v>1</v>
      </c>
      <c r="Q174" s="1"/>
    </row>
    <row r="175" spans="1:17" x14ac:dyDescent="0.25">
      <c r="A175">
        <v>13572</v>
      </c>
      <c r="B175" s="1" t="s">
        <v>34</v>
      </c>
      <c r="C175" s="1" t="s">
        <v>32</v>
      </c>
      <c r="D175" s="2">
        <v>10000</v>
      </c>
      <c r="E175" s="2" t="str">
        <f>IF(bike_buyers[[#This Row],[Income]]&lt;40000,"Under 40K", IF(bike_buyers[[#This Row],[Income]]&lt;60000,"40K-59K", IF(bike_buyers[[#This Row],[Income]]&lt;80000,"60K-79K", IF(bike_buyers[[#This Row],[Income]]&lt;100000,"80K-99K","100K+"))))</f>
        <v>Under 40K</v>
      </c>
      <c r="F175">
        <v>3</v>
      </c>
      <c r="G175" s="1" t="s">
        <v>26</v>
      </c>
      <c r="H175" s="1" t="s">
        <v>24</v>
      </c>
      <c r="I175" s="1" t="s">
        <v>14</v>
      </c>
      <c r="J175">
        <v>0</v>
      </c>
      <c r="K175" s="1" t="s">
        <v>15</v>
      </c>
      <c r="L175" s="1" t="s">
        <v>16</v>
      </c>
      <c r="M175">
        <v>37</v>
      </c>
      <c r="N175" s="1" t="str" cm="1">
        <f t="array" ref="N175">_xlfn.IFS(M175&lt;40, " Adult", M175&lt;60, "Middle Age", M175&gt;=60, "Older Adult")</f>
        <v xml:space="preserve"> Adult</v>
      </c>
      <c r="O175" s="1" t="s">
        <v>14</v>
      </c>
      <c r="P175" s="1">
        <f>IF(O175="Yes", 1)</f>
        <v>1</v>
      </c>
      <c r="Q175" s="1"/>
    </row>
    <row r="176" spans="1:17" x14ac:dyDescent="0.25">
      <c r="A176">
        <v>14785</v>
      </c>
      <c r="B176" s="1" t="s">
        <v>34</v>
      </c>
      <c r="C176" s="1" t="s">
        <v>32</v>
      </c>
      <c r="D176" s="2">
        <v>30000</v>
      </c>
      <c r="E176" s="2" t="str">
        <f>IF(bike_buyers[[#This Row],[Income]]&lt;40000,"Under 40K", IF(bike_buyers[[#This Row],[Income]]&lt;60000,"40K-59K", IF(bike_buyers[[#This Row],[Income]]&lt;80000,"60K-79K", IF(bike_buyers[[#This Row],[Income]]&lt;100000,"80K-99K","100K+"))))</f>
        <v>Under 40K</v>
      </c>
      <c r="F176">
        <v>1</v>
      </c>
      <c r="G176" s="1" t="s">
        <v>12</v>
      </c>
      <c r="H176" s="1" t="s">
        <v>19</v>
      </c>
      <c r="I176" s="1" t="s">
        <v>17</v>
      </c>
      <c r="J176">
        <v>1</v>
      </c>
      <c r="K176" s="1" t="s">
        <v>25</v>
      </c>
      <c r="L176" s="1" t="s">
        <v>16</v>
      </c>
      <c r="M176">
        <v>39</v>
      </c>
      <c r="N176" s="1" t="str" cm="1">
        <f t="array" ref="N176">_xlfn.IFS(M176&lt;40, " Adult", M176&lt;60, "Middle Age", M176&gt;=60, "Older Adult")</f>
        <v xml:space="preserve"> Adult</v>
      </c>
      <c r="O176" s="1" t="s">
        <v>17</v>
      </c>
      <c r="P176" s="1" t="b">
        <f>IF(O176="Yes", 1)</f>
        <v>0</v>
      </c>
      <c r="Q176" s="1"/>
    </row>
    <row r="177" spans="1:17" x14ac:dyDescent="0.25">
      <c r="A177">
        <v>22538</v>
      </c>
      <c r="B177" s="1" t="s">
        <v>34</v>
      </c>
      <c r="C177" s="1" t="s">
        <v>33</v>
      </c>
      <c r="D177" s="2">
        <v>10000</v>
      </c>
      <c r="E177" s="2" t="str">
        <f>IF(bike_buyers[[#This Row],[Income]]&lt;40000,"Under 40K", IF(bike_buyers[[#This Row],[Income]]&lt;60000,"40K-59K", IF(bike_buyers[[#This Row],[Income]]&lt;80000,"60K-79K", IF(bike_buyers[[#This Row],[Income]]&lt;100000,"80K-99K","100K+"))))</f>
        <v>Under 40K</v>
      </c>
      <c r="F177">
        <v>0</v>
      </c>
      <c r="G177" s="1" t="s">
        <v>28</v>
      </c>
      <c r="H177" s="1" t="s">
        <v>24</v>
      </c>
      <c r="I177" s="1" t="s">
        <v>14</v>
      </c>
      <c r="J177">
        <v>2</v>
      </c>
      <c r="K177" s="1" t="s">
        <v>25</v>
      </c>
      <c r="L177" s="1" t="s">
        <v>16</v>
      </c>
      <c r="M177">
        <v>33</v>
      </c>
      <c r="N177" s="1" t="str" cm="1">
        <f t="array" ref="N177">_xlfn.IFS(M177&lt;40, " Adult", M177&lt;60, "Middle Age", M177&gt;=60, "Older Adult")</f>
        <v xml:space="preserve"> Adult</v>
      </c>
      <c r="O177" s="1" t="s">
        <v>17</v>
      </c>
      <c r="P177" s="1" t="b">
        <f>IF(O177="Yes", 1)</f>
        <v>0</v>
      </c>
      <c r="Q177" s="1"/>
    </row>
    <row r="178" spans="1:17" x14ac:dyDescent="0.25">
      <c r="A178">
        <v>22518</v>
      </c>
      <c r="B178" s="1" t="s">
        <v>34</v>
      </c>
      <c r="C178" s="1" t="s">
        <v>33</v>
      </c>
      <c r="D178" s="2">
        <v>30000</v>
      </c>
      <c r="E178" s="2" t="str">
        <f>IF(bike_buyers[[#This Row],[Income]]&lt;40000,"Under 40K", IF(bike_buyers[[#This Row],[Income]]&lt;60000,"40K-59K", IF(bike_buyers[[#This Row],[Income]]&lt;80000,"60K-79K", IF(bike_buyers[[#This Row],[Income]]&lt;100000,"80K-99K","100K+"))))</f>
        <v>Under 40K</v>
      </c>
      <c r="F178">
        <v>3</v>
      </c>
      <c r="G178" s="1" t="s">
        <v>18</v>
      </c>
      <c r="H178" s="1" t="s">
        <v>19</v>
      </c>
      <c r="I178" s="1" t="s">
        <v>17</v>
      </c>
      <c r="J178">
        <v>2</v>
      </c>
      <c r="K178" s="1" t="s">
        <v>15</v>
      </c>
      <c r="L178" s="1" t="s">
        <v>16</v>
      </c>
      <c r="M178">
        <v>27</v>
      </c>
      <c r="N178" s="1" t="str" cm="1">
        <f t="array" ref="N178">_xlfn.IFS(M178&lt;40, " Adult", M178&lt;60, "Middle Age", M178&gt;=60, "Older Adult")</f>
        <v xml:space="preserve"> Adult</v>
      </c>
      <c r="O178" s="1" t="s">
        <v>14</v>
      </c>
      <c r="P178" s="1">
        <f>IF(O178="Yes", 1)</f>
        <v>1</v>
      </c>
      <c r="Q178" s="1"/>
    </row>
    <row r="179" spans="1:17" x14ac:dyDescent="0.25">
      <c r="A179">
        <v>19305</v>
      </c>
      <c r="B179" s="1" t="s">
        <v>34</v>
      </c>
      <c r="C179" s="1" t="s">
        <v>33</v>
      </c>
      <c r="D179" s="2">
        <v>10000</v>
      </c>
      <c r="E179" s="2" t="str">
        <f>IF(bike_buyers[[#This Row],[Income]]&lt;40000,"Under 40K", IF(bike_buyers[[#This Row],[Income]]&lt;60000,"40K-59K", IF(bike_buyers[[#This Row],[Income]]&lt;80000,"60K-79K", IF(bike_buyers[[#This Row],[Income]]&lt;100000,"80K-99K","100K+"))))</f>
        <v>Under 40K</v>
      </c>
      <c r="F179">
        <v>2</v>
      </c>
      <c r="G179" s="1" t="s">
        <v>26</v>
      </c>
      <c r="H179" s="1" t="s">
        <v>24</v>
      </c>
      <c r="I179" s="1" t="s">
        <v>14</v>
      </c>
      <c r="J179">
        <v>1</v>
      </c>
      <c r="K179" s="1" t="s">
        <v>15</v>
      </c>
      <c r="L179" s="1" t="s">
        <v>16</v>
      </c>
      <c r="M179">
        <v>38</v>
      </c>
      <c r="N179" s="1" t="str" cm="1">
        <f t="array" ref="N179">_xlfn.IFS(M179&lt;40, " Adult", M179&lt;60, "Middle Age", M179&gt;=60, "Older Adult")</f>
        <v xml:space="preserve"> Adult</v>
      </c>
      <c r="O179" s="1" t="s">
        <v>14</v>
      </c>
      <c r="P179" s="1">
        <f>IF(O179="Yes", 1)</f>
        <v>1</v>
      </c>
      <c r="Q179" s="1"/>
    </row>
    <row r="180" spans="1:17" x14ac:dyDescent="0.25">
      <c r="A180">
        <v>25918</v>
      </c>
      <c r="B180" s="1" t="s">
        <v>34</v>
      </c>
      <c r="C180" s="1" t="s">
        <v>33</v>
      </c>
      <c r="D180" s="2">
        <v>30000</v>
      </c>
      <c r="E180" s="2" t="str">
        <f>IF(bike_buyers[[#This Row],[Income]]&lt;40000,"Under 40K", IF(bike_buyers[[#This Row],[Income]]&lt;60000,"40K-59K", IF(bike_buyers[[#This Row],[Income]]&lt;80000,"60K-79K", IF(bike_buyers[[#This Row],[Income]]&lt;100000,"80K-99K","100K+"))))</f>
        <v>Under 40K</v>
      </c>
      <c r="F180">
        <v>2</v>
      </c>
      <c r="G180" s="1" t="s">
        <v>18</v>
      </c>
      <c r="H180" s="1" t="s">
        <v>19</v>
      </c>
      <c r="I180" s="1" t="s">
        <v>17</v>
      </c>
      <c r="J180">
        <v>2</v>
      </c>
      <c r="K180" s="1" t="s">
        <v>22</v>
      </c>
      <c r="L180" s="1" t="s">
        <v>23</v>
      </c>
      <c r="M180">
        <v>60</v>
      </c>
      <c r="N180" s="1" t="str" cm="1">
        <f t="array" ref="N180">_xlfn.IFS(M180&lt;40, " Adult", M180&lt;60, "Middle Age", M180&gt;=60, "Older Adult")</f>
        <v>Older Adult</v>
      </c>
      <c r="O180" s="1" t="s">
        <v>14</v>
      </c>
      <c r="P180" s="1">
        <f>IF(O180="Yes", 1)</f>
        <v>1</v>
      </c>
      <c r="Q180" s="1"/>
    </row>
    <row r="181" spans="1:17" x14ac:dyDescent="0.25">
      <c r="A181">
        <v>25752</v>
      </c>
      <c r="B181" s="1" t="s">
        <v>34</v>
      </c>
      <c r="C181" s="1" t="s">
        <v>33</v>
      </c>
      <c r="D181" s="2">
        <v>20000</v>
      </c>
      <c r="E181" s="2" t="str">
        <f>IF(bike_buyers[[#This Row],[Income]]&lt;40000,"Under 40K", IF(bike_buyers[[#This Row],[Income]]&lt;60000,"40K-59K", IF(bike_buyers[[#This Row],[Income]]&lt;80000,"60K-79K", IF(bike_buyers[[#This Row],[Income]]&lt;100000,"80K-99K","100K+"))))</f>
        <v>Under 40K</v>
      </c>
      <c r="F181">
        <v>2</v>
      </c>
      <c r="G181" s="1" t="s">
        <v>18</v>
      </c>
      <c r="H181" s="1" t="s">
        <v>24</v>
      </c>
      <c r="I181" s="1" t="s">
        <v>17</v>
      </c>
      <c r="J181">
        <v>1</v>
      </c>
      <c r="K181" s="1" t="s">
        <v>15</v>
      </c>
      <c r="L181" s="1" t="s">
        <v>16</v>
      </c>
      <c r="M181">
        <v>53</v>
      </c>
      <c r="N181" s="1" t="str" cm="1">
        <f t="array" ref="N181">_xlfn.IFS(M181&lt;40, " Adult", M181&lt;60, "Middle Age", M181&gt;=60, "Older Adult")</f>
        <v>Middle Age</v>
      </c>
      <c r="O181" s="1" t="s">
        <v>14</v>
      </c>
      <c r="P181" s="1">
        <f>IF(O181="Yes", 1)</f>
        <v>1</v>
      </c>
      <c r="Q181" s="1"/>
    </row>
    <row r="182" spans="1:17" x14ac:dyDescent="0.25">
      <c r="A182">
        <v>25512</v>
      </c>
      <c r="B182" s="1" t="s">
        <v>34</v>
      </c>
      <c r="C182" s="1" t="s">
        <v>32</v>
      </c>
      <c r="D182" s="2">
        <v>20000</v>
      </c>
      <c r="E182" s="2" t="str">
        <f>IF(bike_buyers[[#This Row],[Income]]&lt;40000,"Under 40K", IF(bike_buyers[[#This Row],[Income]]&lt;60000,"40K-59K", IF(bike_buyers[[#This Row],[Income]]&lt;80000,"60K-79K", IF(bike_buyers[[#This Row],[Income]]&lt;100000,"80K-99K","100K+"))))</f>
        <v>Under 40K</v>
      </c>
      <c r="F182">
        <v>0</v>
      </c>
      <c r="G182" s="1" t="s">
        <v>26</v>
      </c>
      <c r="H182" s="1" t="s">
        <v>24</v>
      </c>
      <c r="I182" s="1" t="s">
        <v>17</v>
      </c>
      <c r="J182">
        <v>1</v>
      </c>
      <c r="K182" s="1" t="s">
        <v>21</v>
      </c>
      <c r="L182" s="1" t="s">
        <v>16</v>
      </c>
      <c r="M182">
        <v>30</v>
      </c>
      <c r="N182" s="1" t="str" cm="1">
        <f t="array" ref="N182">_xlfn.IFS(M182&lt;40, " Adult", M182&lt;60, "Middle Age", M182&gt;=60, "Older Adult")</f>
        <v xml:space="preserve"> Adult</v>
      </c>
      <c r="O182" s="1" t="s">
        <v>17</v>
      </c>
      <c r="P182" s="1" t="b">
        <f>IF(O182="Yes", 1)</f>
        <v>0</v>
      </c>
      <c r="Q182" s="1"/>
    </row>
    <row r="183" spans="1:17" x14ac:dyDescent="0.25">
      <c r="A183">
        <v>20977</v>
      </c>
      <c r="B183" s="1" t="s">
        <v>31</v>
      </c>
      <c r="C183" s="1" t="s">
        <v>32</v>
      </c>
      <c r="D183" s="2">
        <v>20000</v>
      </c>
      <c r="E183" s="2" t="str">
        <f>IF(bike_buyers[[#This Row],[Income]]&lt;40000,"Under 40K", IF(bike_buyers[[#This Row],[Income]]&lt;60000,"40K-59K", IF(bike_buyers[[#This Row],[Income]]&lt;80000,"60K-79K", IF(bike_buyers[[#This Row],[Income]]&lt;100000,"80K-99K","100K+"))))</f>
        <v>Under 40K</v>
      </c>
      <c r="F183">
        <v>1</v>
      </c>
      <c r="G183" s="1" t="s">
        <v>12</v>
      </c>
      <c r="H183" s="1" t="s">
        <v>19</v>
      </c>
      <c r="I183" s="1" t="s">
        <v>14</v>
      </c>
      <c r="J183">
        <v>0</v>
      </c>
      <c r="K183" s="1" t="s">
        <v>15</v>
      </c>
      <c r="L183" s="1" t="s">
        <v>16</v>
      </c>
      <c r="M183">
        <v>64</v>
      </c>
      <c r="N183" s="1" t="str" cm="1">
        <f t="array" ref="N183">_xlfn.IFS(M183&lt;40, " Adult", M183&lt;60, "Middle Age", M183&gt;=60, "Older Adult")</f>
        <v>Older Adult</v>
      </c>
      <c r="O183" s="1" t="s">
        <v>14</v>
      </c>
      <c r="P183" s="1">
        <f>IF(O183="Yes", 1)</f>
        <v>1</v>
      </c>
      <c r="Q183" s="1"/>
    </row>
    <row r="184" spans="1:17" x14ac:dyDescent="0.25">
      <c r="A184">
        <v>20417</v>
      </c>
      <c r="B184" s="1" t="s">
        <v>31</v>
      </c>
      <c r="C184" s="1" t="s">
        <v>32</v>
      </c>
      <c r="D184" s="2">
        <v>30000</v>
      </c>
      <c r="E184" s="2" t="str">
        <f>IF(bike_buyers[[#This Row],[Income]]&lt;40000,"Under 40K", IF(bike_buyers[[#This Row],[Income]]&lt;60000,"40K-59K", IF(bike_buyers[[#This Row],[Income]]&lt;80000,"60K-79K", IF(bike_buyers[[#This Row],[Income]]&lt;100000,"80K-99K","100K+"))))</f>
        <v>Under 40K</v>
      </c>
      <c r="F184">
        <v>3</v>
      </c>
      <c r="G184" s="1" t="s">
        <v>18</v>
      </c>
      <c r="H184" s="1" t="s">
        <v>19</v>
      </c>
      <c r="I184" s="1" t="s">
        <v>17</v>
      </c>
      <c r="J184">
        <v>2</v>
      </c>
      <c r="K184" s="1" t="s">
        <v>22</v>
      </c>
      <c r="L184" s="1" t="s">
        <v>23</v>
      </c>
      <c r="M184">
        <v>56</v>
      </c>
      <c r="N184" s="1" t="str" cm="1">
        <f t="array" ref="N184">_xlfn.IFS(M184&lt;40, " Adult", M184&lt;60, "Middle Age", M184&gt;=60, "Older Adult")</f>
        <v>Middle Age</v>
      </c>
      <c r="O184" s="1" t="s">
        <v>17</v>
      </c>
      <c r="P184" s="1" t="b">
        <f>IF(O184="Yes", 1)</f>
        <v>0</v>
      </c>
      <c r="Q184" s="1"/>
    </row>
    <row r="185" spans="1:17" x14ac:dyDescent="0.25">
      <c r="A185">
        <v>22974</v>
      </c>
      <c r="B185" s="1" t="s">
        <v>31</v>
      </c>
      <c r="C185" s="1" t="s">
        <v>33</v>
      </c>
      <c r="D185" s="2">
        <v>30000</v>
      </c>
      <c r="E185" s="2" t="str">
        <f>IF(bike_buyers[[#This Row],[Income]]&lt;40000,"Under 40K", IF(bike_buyers[[#This Row],[Income]]&lt;60000,"40K-59K", IF(bike_buyers[[#This Row],[Income]]&lt;80000,"60K-79K", IF(bike_buyers[[#This Row],[Income]]&lt;100000,"80K-99K","100K+"))))</f>
        <v>Under 40K</v>
      </c>
      <c r="F185">
        <v>2</v>
      </c>
      <c r="G185" s="1" t="s">
        <v>18</v>
      </c>
      <c r="H185" s="1" t="s">
        <v>19</v>
      </c>
      <c r="I185" s="1" t="s">
        <v>14</v>
      </c>
      <c r="J185">
        <v>2</v>
      </c>
      <c r="K185" s="1" t="s">
        <v>22</v>
      </c>
      <c r="L185" s="1" t="s">
        <v>23</v>
      </c>
      <c r="M185">
        <v>69</v>
      </c>
      <c r="N185" s="1" t="str" cm="1">
        <f t="array" ref="N185">_xlfn.IFS(M185&lt;40, " Adult", M185&lt;60, "Middle Age", M185&gt;=60, "Older Adult")</f>
        <v>Older Adult</v>
      </c>
      <c r="O185" s="1" t="s">
        <v>17</v>
      </c>
      <c r="P185" s="1" t="b">
        <f>IF(O185="Yes", 1)</f>
        <v>0</v>
      </c>
      <c r="Q185" s="1"/>
    </row>
    <row r="186" spans="1:17" x14ac:dyDescent="0.25">
      <c r="A186">
        <v>12581</v>
      </c>
      <c r="B186" s="1" t="s">
        <v>34</v>
      </c>
      <c r="C186" s="1" t="s">
        <v>33</v>
      </c>
      <c r="D186" s="2">
        <v>10000</v>
      </c>
      <c r="E186" s="2" t="str">
        <f>IF(bike_buyers[[#This Row],[Income]]&lt;40000,"Under 40K", IF(bike_buyers[[#This Row],[Income]]&lt;60000,"40K-59K", IF(bike_buyers[[#This Row],[Income]]&lt;80000,"60K-79K", IF(bike_buyers[[#This Row],[Income]]&lt;100000,"80K-99K","100K+"))))</f>
        <v>Under 40K</v>
      </c>
      <c r="F186">
        <v>0</v>
      </c>
      <c r="G186" s="1" t="s">
        <v>18</v>
      </c>
      <c r="H186" s="1" t="s">
        <v>24</v>
      </c>
      <c r="I186" s="1" t="s">
        <v>17</v>
      </c>
      <c r="J186">
        <v>1</v>
      </c>
      <c r="K186" s="1" t="s">
        <v>15</v>
      </c>
      <c r="L186" s="1" t="s">
        <v>23</v>
      </c>
      <c r="M186">
        <v>28</v>
      </c>
      <c r="N186" s="1" t="str" cm="1">
        <f t="array" ref="N186">_xlfn.IFS(M186&lt;40, " Adult", M186&lt;60, "Middle Age", M186&gt;=60, "Older Adult")</f>
        <v xml:space="preserve"> Adult</v>
      </c>
      <c r="O186" s="1" t="s">
        <v>14</v>
      </c>
      <c r="P186" s="1">
        <f>IF(O186="Yes", 1)</f>
        <v>1</v>
      </c>
      <c r="Q186" s="1"/>
    </row>
    <row r="187" spans="1:17" x14ac:dyDescent="0.25">
      <c r="A187">
        <v>18018</v>
      </c>
      <c r="B187" s="1" t="s">
        <v>34</v>
      </c>
      <c r="C187" s="1" t="s">
        <v>32</v>
      </c>
      <c r="D187" s="2">
        <v>30000</v>
      </c>
      <c r="E187" s="2" t="str">
        <f>IF(bike_buyers[[#This Row],[Income]]&lt;40000,"Under 40K", IF(bike_buyers[[#This Row],[Income]]&lt;60000,"40K-59K", IF(bike_buyers[[#This Row],[Income]]&lt;80000,"60K-79K", IF(bike_buyers[[#This Row],[Income]]&lt;100000,"80K-99K","100K+"))))</f>
        <v>Under 40K</v>
      </c>
      <c r="F187">
        <v>3</v>
      </c>
      <c r="G187" s="1" t="s">
        <v>18</v>
      </c>
      <c r="H187" s="1" t="s">
        <v>19</v>
      </c>
      <c r="I187" s="1" t="s">
        <v>14</v>
      </c>
      <c r="J187">
        <v>0</v>
      </c>
      <c r="K187" s="1" t="s">
        <v>15</v>
      </c>
      <c r="L187" s="1" t="s">
        <v>16</v>
      </c>
      <c r="M187">
        <v>43</v>
      </c>
      <c r="N187" s="1" t="str" cm="1">
        <f t="array" ref="N187">_xlfn.IFS(M187&lt;40, " Adult", M187&lt;60, "Middle Age", M187&gt;=60, "Older Adult")</f>
        <v>Middle Age</v>
      </c>
      <c r="O187" s="1" t="s">
        <v>17</v>
      </c>
      <c r="P187" s="1" t="b">
        <f>IF(O187="Yes", 1)</f>
        <v>0</v>
      </c>
      <c r="Q187" s="1"/>
    </row>
    <row r="188" spans="1:17" x14ac:dyDescent="0.25">
      <c r="A188">
        <v>13690</v>
      </c>
      <c r="B188" s="1" t="s">
        <v>34</v>
      </c>
      <c r="C188" s="1" t="s">
        <v>33</v>
      </c>
      <c r="D188" s="2">
        <v>20000</v>
      </c>
      <c r="E188" s="2" t="str">
        <f>IF(bike_buyers[[#This Row],[Income]]&lt;40000,"Under 40K", IF(bike_buyers[[#This Row],[Income]]&lt;60000,"40K-59K", IF(bike_buyers[[#This Row],[Income]]&lt;80000,"60K-79K", IF(bike_buyers[[#This Row],[Income]]&lt;100000,"80K-99K","100K+"))))</f>
        <v>Under 40K</v>
      </c>
      <c r="F188">
        <v>0</v>
      </c>
      <c r="G188" s="1" t="s">
        <v>28</v>
      </c>
      <c r="H188" s="1" t="s">
        <v>24</v>
      </c>
      <c r="I188" s="1" t="s">
        <v>17</v>
      </c>
      <c r="J188">
        <v>2</v>
      </c>
      <c r="K188" s="1" t="s">
        <v>25</v>
      </c>
      <c r="L188" s="1" t="s">
        <v>16</v>
      </c>
      <c r="M188">
        <v>34</v>
      </c>
      <c r="N188" s="1" t="str" cm="1">
        <f t="array" ref="N188">_xlfn.IFS(M188&lt;40, " Adult", M188&lt;60, "Middle Age", M188&gt;=60, "Older Adult")</f>
        <v xml:space="preserve"> Adult</v>
      </c>
      <c r="O188" s="1" t="s">
        <v>14</v>
      </c>
      <c r="P188" s="1">
        <f>IF(O188="Yes", 1)</f>
        <v>1</v>
      </c>
      <c r="Q188" s="1"/>
    </row>
    <row r="189" spans="1:17" x14ac:dyDescent="0.25">
      <c r="A189">
        <v>12568</v>
      </c>
      <c r="B189" s="1" t="s">
        <v>31</v>
      </c>
      <c r="C189" s="1" t="s">
        <v>33</v>
      </c>
      <c r="D189" s="2">
        <v>30000</v>
      </c>
      <c r="E189" s="2" t="str">
        <f>IF(bike_buyers[[#This Row],[Income]]&lt;40000,"Under 40K", IF(bike_buyers[[#This Row],[Income]]&lt;60000,"40K-59K", IF(bike_buyers[[#This Row],[Income]]&lt;80000,"60K-79K", IF(bike_buyers[[#This Row],[Income]]&lt;100000,"80K-99K","100K+"))))</f>
        <v>Under 40K</v>
      </c>
      <c r="F189">
        <v>1</v>
      </c>
      <c r="G189" s="1" t="s">
        <v>12</v>
      </c>
      <c r="H189" s="1" t="s">
        <v>19</v>
      </c>
      <c r="I189" s="1" t="s">
        <v>14</v>
      </c>
      <c r="J189">
        <v>0</v>
      </c>
      <c r="K189" s="1" t="s">
        <v>15</v>
      </c>
      <c r="L189" s="1" t="s">
        <v>16</v>
      </c>
      <c r="M189">
        <v>64</v>
      </c>
      <c r="N189" s="1" t="str" cm="1">
        <f t="array" ref="N189">_xlfn.IFS(M189&lt;40, " Adult", M189&lt;60, "Middle Age", M189&gt;=60, "Older Adult")</f>
        <v>Older Adult</v>
      </c>
      <c r="O189" s="1" t="s">
        <v>17</v>
      </c>
      <c r="P189" s="1" t="b">
        <f>IF(O189="Yes", 1)</f>
        <v>0</v>
      </c>
      <c r="Q189" s="1"/>
    </row>
    <row r="190" spans="1:17" x14ac:dyDescent="0.25">
      <c r="A190">
        <v>24151</v>
      </c>
      <c r="B190" s="1" t="s">
        <v>34</v>
      </c>
      <c r="C190" s="1" t="s">
        <v>32</v>
      </c>
      <c r="D190" s="2">
        <v>20000</v>
      </c>
      <c r="E190" s="2" t="str">
        <f>IF(bike_buyers[[#This Row],[Income]]&lt;40000,"Under 40K", IF(bike_buyers[[#This Row],[Income]]&lt;60000,"40K-59K", IF(bike_buyers[[#This Row],[Income]]&lt;80000,"60K-79K", IF(bike_buyers[[#This Row],[Income]]&lt;100000,"80K-99K","100K+"))))</f>
        <v>Under 40K</v>
      </c>
      <c r="F190">
        <v>1</v>
      </c>
      <c r="G190" s="1" t="s">
        <v>12</v>
      </c>
      <c r="H190" s="1" t="s">
        <v>19</v>
      </c>
      <c r="I190" s="1" t="s">
        <v>17</v>
      </c>
      <c r="J190">
        <v>0</v>
      </c>
      <c r="K190" s="1" t="s">
        <v>15</v>
      </c>
      <c r="L190" s="1" t="s">
        <v>16</v>
      </c>
      <c r="M190">
        <v>51</v>
      </c>
      <c r="N190" s="1" t="str" cm="1">
        <f t="array" ref="N190">_xlfn.IFS(M190&lt;40, " Adult", M190&lt;60, "Middle Age", M190&gt;=60, "Older Adult")</f>
        <v>Middle Age</v>
      </c>
      <c r="O190" s="1" t="s">
        <v>17</v>
      </c>
      <c r="P190" s="1" t="b">
        <f>IF(O190="Yes", 1)</f>
        <v>0</v>
      </c>
      <c r="Q190" s="1"/>
    </row>
    <row r="191" spans="1:17" x14ac:dyDescent="0.25">
      <c r="A191">
        <v>23962</v>
      </c>
      <c r="B191" s="1" t="s">
        <v>31</v>
      </c>
      <c r="C191" s="1" t="s">
        <v>33</v>
      </c>
      <c r="D191" s="2">
        <v>10000</v>
      </c>
      <c r="E191" s="2" t="str">
        <f>IF(bike_buyers[[#This Row],[Income]]&lt;40000,"Under 40K", IF(bike_buyers[[#This Row],[Income]]&lt;60000,"40K-59K", IF(bike_buyers[[#This Row],[Income]]&lt;80000,"60K-79K", IF(bike_buyers[[#This Row],[Income]]&lt;100000,"80K-99K","100K+"))))</f>
        <v>Under 40K</v>
      </c>
      <c r="F191">
        <v>0</v>
      </c>
      <c r="G191" s="1" t="s">
        <v>28</v>
      </c>
      <c r="H191" s="1" t="s">
        <v>24</v>
      </c>
      <c r="I191" s="1" t="s">
        <v>14</v>
      </c>
      <c r="J191">
        <v>2</v>
      </c>
      <c r="K191" s="1" t="s">
        <v>25</v>
      </c>
      <c r="L191" s="1" t="s">
        <v>16</v>
      </c>
      <c r="M191">
        <v>32</v>
      </c>
      <c r="N191" s="1" t="str" cm="1">
        <f t="array" ref="N191">_xlfn.IFS(M191&lt;40, " Adult", M191&lt;60, "Middle Age", M191&gt;=60, "Older Adult")</f>
        <v xml:space="preserve"> Adult</v>
      </c>
      <c r="O191" s="1" t="s">
        <v>17</v>
      </c>
      <c r="P191" s="1" t="b">
        <f>IF(O191="Yes", 1)</f>
        <v>0</v>
      </c>
      <c r="Q191" s="1"/>
    </row>
    <row r="192" spans="1:17" x14ac:dyDescent="0.25">
      <c r="A192">
        <v>14926</v>
      </c>
      <c r="B192" s="1" t="s">
        <v>31</v>
      </c>
      <c r="C192" s="1" t="s">
        <v>32</v>
      </c>
      <c r="D192" s="2">
        <v>30000</v>
      </c>
      <c r="E192" s="2" t="str">
        <f>IF(bike_buyers[[#This Row],[Income]]&lt;40000,"Under 40K", IF(bike_buyers[[#This Row],[Income]]&lt;60000,"40K-59K", IF(bike_buyers[[#This Row],[Income]]&lt;80000,"60K-79K", IF(bike_buyers[[#This Row],[Income]]&lt;100000,"80K-99K","100K+"))))</f>
        <v>Under 40K</v>
      </c>
      <c r="F192">
        <v>1</v>
      </c>
      <c r="G192" s="1" t="s">
        <v>12</v>
      </c>
      <c r="H192" s="1" t="s">
        <v>19</v>
      </c>
      <c r="I192" s="1" t="s">
        <v>14</v>
      </c>
      <c r="J192">
        <v>0</v>
      </c>
      <c r="K192" s="1" t="s">
        <v>15</v>
      </c>
      <c r="L192" s="1" t="s">
        <v>16</v>
      </c>
      <c r="M192">
        <v>38</v>
      </c>
      <c r="N192" s="1" t="str" cm="1">
        <f t="array" ref="N192">_xlfn.IFS(M192&lt;40, " Adult", M192&lt;60, "Middle Age", M192&gt;=60, "Older Adult")</f>
        <v xml:space="preserve"> Adult</v>
      </c>
      <c r="O192" s="1" t="s">
        <v>14</v>
      </c>
      <c r="P192" s="1">
        <f>IF(O192="Yes", 1)</f>
        <v>1</v>
      </c>
      <c r="Q192" s="1"/>
    </row>
    <row r="193" spans="1:17" x14ac:dyDescent="0.25">
      <c r="A193">
        <v>21365</v>
      </c>
      <c r="B193" s="1" t="s">
        <v>31</v>
      </c>
      <c r="C193" s="1" t="s">
        <v>33</v>
      </c>
      <c r="D193" s="2">
        <v>10000</v>
      </c>
      <c r="E193" s="2" t="str">
        <f>IF(bike_buyers[[#This Row],[Income]]&lt;40000,"Under 40K", IF(bike_buyers[[#This Row],[Income]]&lt;60000,"40K-59K", IF(bike_buyers[[#This Row],[Income]]&lt;80000,"60K-79K", IF(bike_buyers[[#This Row],[Income]]&lt;100000,"80K-99K","100K+"))))</f>
        <v>Under 40K</v>
      </c>
      <c r="F193">
        <v>2</v>
      </c>
      <c r="G193" s="1" t="s">
        <v>28</v>
      </c>
      <c r="H193" s="1" t="s">
        <v>19</v>
      </c>
      <c r="I193" s="1" t="s">
        <v>14</v>
      </c>
      <c r="J193">
        <v>2</v>
      </c>
      <c r="K193" s="1" t="s">
        <v>22</v>
      </c>
      <c r="L193" s="1" t="s">
        <v>23</v>
      </c>
      <c r="M193">
        <v>58</v>
      </c>
      <c r="N193" s="1" t="str" cm="1">
        <f t="array" ref="N193">_xlfn.IFS(M193&lt;40, " Adult", M193&lt;60, "Middle Age", M193&gt;=60, "Older Adult")</f>
        <v>Middle Age</v>
      </c>
      <c r="O193" s="1" t="s">
        <v>17</v>
      </c>
      <c r="P193" s="1" t="b">
        <f>IF(O193="Yes", 1)</f>
        <v>0</v>
      </c>
      <c r="Q193" s="1"/>
    </row>
    <row r="194" spans="1:17" x14ac:dyDescent="0.25">
      <c r="A194">
        <v>27771</v>
      </c>
      <c r="B194" s="1" t="s">
        <v>34</v>
      </c>
      <c r="C194" s="1" t="s">
        <v>32</v>
      </c>
      <c r="D194" s="2">
        <v>30000</v>
      </c>
      <c r="E194" s="2" t="str">
        <f>IF(bike_buyers[[#This Row],[Income]]&lt;40000,"Under 40K", IF(bike_buyers[[#This Row],[Income]]&lt;60000,"40K-59K", IF(bike_buyers[[#This Row],[Income]]&lt;80000,"60K-79K", IF(bike_buyers[[#This Row],[Income]]&lt;100000,"80K-99K","100K+"))))</f>
        <v>Under 40K</v>
      </c>
      <c r="F194">
        <v>1</v>
      </c>
      <c r="G194" s="1" t="s">
        <v>12</v>
      </c>
      <c r="H194" s="1" t="s">
        <v>19</v>
      </c>
      <c r="I194" s="1" t="s">
        <v>14</v>
      </c>
      <c r="J194">
        <v>1</v>
      </c>
      <c r="K194" s="1" t="s">
        <v>25</v>
      </c>
      <c r="L194" s="1" t="s">
        <v>16</v>
      </c>
      <c r="M194">
        <v>39</v>
      </c>
      <c r="N194" s="1" t="str" cm="1">
        <f t="array" ref="N194">_xlfn.IFS(M194&lt;40, " Adult", M194&lt;60, "Middle Age", M194&gt;=60, "Older Adult")</f>
        <v xml:space="preserve"> Adult</v>
      </c>
      <c r="O194" s="1" t="s">
        <v>14</v>
      </c>
      <c r="P194" s="1">
        <f>IF(O194="Yes", 1)</f>
        <v>1</v>
      </c>
      <c r="Q194" s="1"/>
    </row>
    <row r="195" spans="1:17" x14ac:dyDescent="0.25">
      <c r="A195">
        <v>22381</v>
      </c>
      <c r="B195" s="1" t="s">
        <v>31</v>
      </c>
      <c r="C195" s="1" t="s">
        <v>32</v>
      </c>
      <c r="D195" s="2">
        <v>10000</v>
      </c>
      <c r="E195" s="2" t="str">
        <f>IF(bike_buyers[[#This Row],[Income]]&lt;40000,"Under 40K", IF(bike_buyers[[#This Row],[Income]]&lt;60000,"40K-59K", IF(bike_buyers[[#This Row],[Income]]&lt;80000,"60K-79K", IF(bike_buyers[[#This Row],[Income]]&lt;100000,"80K-99K","100K+"))))</f>
        <v>Under 40K</v>
      </c>
      <c r="F195">
        <v>1</v>
      </c>
      <c r="G195" s="1" t="s">
        <v>29</v>
      </c>
      <c r="H195" s="1" t="s">
        <v>24</v>
      </c>
      <c r="I195" s="1" t="s">
        <v>14</v>
      </c>
      <c r="J195">
        <v>0</v>
      </c>
      <c r="K195" s="1" t="s">
        <v>15</v>
      </c>
      <c r="L195" s="1" t="s">
        <v>16</v>
      </c>
      <c r="M195">
        <v>44</v>
      </c>
      <c r="N195" s="1" t="str" cm="1">
        <f t="array" ref="N195">_xlfn.IFS(M195&lt;40, " Adult", M195&lt;60, "Middle Age", M195&gt;=60, "Older Adult")</f>
        <v>Middle Age</v>
      </c>
      <c r="O195" s="1" t="s">
        <v>17</v>
      </c>
      <c r="P195" s="1" t="b">
        <f>IF(O195="Yes", 1)</f>
        <v>0</v>
      </c>
      <c r="Q195" s="1"/>
    </row>
    <row r="196" spans="1:17" x14ac:dyDescent="0.25">
      <c r="A196">
        <v>17882</v>
      </c>
      <c r="B196" s="1" t="s">
        <v>31</v>
      </c>
      <c r="C196" s="1" t="s">
        <v>32</v>
      </c>
      <c r="D196" s="2">
        <v>20000</v>
      </c>
      <c r="E196" s="2" t="str">
        <f>IF(bike_buyers[[#This Row],[Income]]&lt;40000,"Under 40K", IF(bike_buyers[[#This Row],[Income]]&lt;60000,"40K-59K", IF(bike_buyers[[#This Row],[Income]]&lt;80000,"60K-79K", IF(bike_buyers[[#This Row],[Income]]&lt;100000,"80K-99K","100K+"))))</f>
        <v>Under 40K</v>
      </c>
      <c r="F196">
        <v>1</v>
      </c>
      <c r="G196" s="1" t="s">
        <v>29</v>
      </c>
      <c r="H196" s="1" t="s">
        <v>19</v>
      </c>
      <c r="I196" s="1" t="s">
        <v>14</v>
      </c>
      <c r="J196">
        <v>0</v>
      </c>
      <c r="K196" s="1" t="s">
        <v>15</v>
      </c>
      <c r="L196" s="1" t="s">
        <v>16</v>
      </c>
      <c r="M196">
        <v>44</v>
      </c>
      <c r="N196" s="1" t="str" cm="1">
        <f t="array" ref="N196">_xlfn.IFS(M196&lt;40, " Adult", M196&lt;60, "Middle Age", M196&gt;=60, "Older Adult")</f>
        <v>Middle Age</v>
      </c>
      <c r="O196" s="1" t="s">
        <v>17</v>
      </c>
      <c r="P196" s="1" t="b">
        <f>IF(O196="Yes", 1)</f>
        <v>0</v>
      </c>
      <c r="Q196" s="1"/>
    </row>
    <row r="197" spans="1:17" x14ac:dyDescent="0.25">
      <c r="A197">
        <v>22174</v>
      </c>
      <c r="B197" s="1" t="s">
        <v>31</v>
      </c>
      <c r="C197" s="1" t="s">
        <v>32</v>
      </c>
      <c r="D197" s="2">
        <v>30000</v>
      </c>
      <c r="E197" s="2" t="str">
        <f>IF(bike_buyers[[#This Row],[Income]]&lt;40000,"Under 40K", IF(bike_buyers[[#This Row],[Income]]&lt;60000,"40K-59K", IF(bike_buyers[[#This Row],[Income]]&lt;80000,"60K-79K", IF(bike_buyers[[#This Row],[Income]]&lt;100000,"80K-99K","100K+"))))</f>
        <v>Under 40K</v>
      </c>
      <c r="F197">
        <v>3</v>
      </c>
      <c r="G197" s="1" t="s">
        <v>26</v>
      </c>
      <c r="H197" s="1" t="s">
        <v>13</v>
      </c>
      <c r="I197" s="1" t="s">
        <v>14</v>
      </c>
      <c r="J197">
        <v>2</v>
      </c>
      <c r="K197" s="1" t="s">
        <v>22</v>
      </c>
      <c r="L197" s="1" t="s">
        <v>23</v>
      </c>
      <c r="M197">
        <v>54</v>
      </c>
      <c r="N197" s="1" t="str" cm="1">
        <f t="array" ref="N197">_xlfn.IFS(M197&lt;40, " Adult", M197&lt;60, "Middle Age", M197&gt;=60, "Older Adult")</f>
        <v>Middle Age</v>
      </c>
      <c r="O197" s="1" t="s">
        <v>14</v>
      </c>
      <c r="P197" s="1">
        <f>IF(O197="Yes", 1)</f>
        <v>1</v>
      </c>
      <c r="Q197" s="1"/>
    </row>
    <row r="198" spans="1:17" x14ac:dyDescent="0.25">
      <c r="A198">
        <v>22439</v>
      </c>
      <c r="B198" s="1" t="s">
        <v>31</v>
      </c>
      <c r="C198" s="1" t="s">
        <v>33</v>
      </c>
      <c r="D198" s="2">
        <v>30000</v>
      </c>
      <c r="E198" s="2" t="str">
        <f>IF(bike_buyers[[#This Row],[Income]]&lt;40000,"Under 40K", IF(bike_buyers[[#This Row],[Income]]&lt;60000,"40K-59K", IF(bike_buyers[[#This Row],[Income]]&lt;80000,"60K-79K", IF(bike_buyers[[#This Row],[Income]]&lt;100000,"80K-99K","100K+"))))</f>
        <v>Under 40K</v>
      </c>
      <c r="F198">
        <v>0</v>
      </c>
      <c r="G198" s="1" t="s">
        <v>12</v>
      </c>
      <c r="H198" s="1" t="s">
        <v>19</v>
      </c>
      <c r="I198" s="1" t="s">
        <v>14</v>
      </c>
      <c r="J198">
        <v>0</v>
      </c>
      <c r="K198" s="1" t="s">
        <v>15</v>
      </c>
      <c r="L198" s="1" t="s">
        <v>16</v>
      </c>
      <c r="M198">
        <v>37</v>
      </c>
      <c r="N198" s="1" t="str" cm="1">
        <f t="array" ref="N198">_xlfn.IFS(M198&lt;40, " Adult", M198&lt;60, "Middle Age", M198&gt;=60, "Older Adult")</f>
        <v xml:space="preserve"> Adult</v>
      </c>
      <c r="O198" s="1" t="s">
        <v>14</v>
      </c>
      <c r="P198" s="1">
        <f>IF(O198="Yes", 1)</f>
        <v>1</v>
      </c>
      <c r="Q198" s="1"/>
    </row>
    <row r="199" spans="1:17" x14ac:dyDescent="0.25">
      <c r="A199">
        <v>20171</v>
      </c>
      <c r="B199" s="1" t="s">
        <v>31</v>
      </c>
      <c r="C199" s="1" t="s">
        <v>33</v>
      </c>
      <c r="D199" s="2">
        <v>20000</v>
      </c>
      <c r="E199" s="2" t="str">
        <f>IF(bike_buyers[[#This Row],[Income]]&lt;40000,"Under 40K", IF(bike_buyers[[#This Row],[Income]]&lt;60000,"40K-59K", IF(bike_buyers[[#This Row],[Income]]&lt;80000,"60K-79K", IF(bike_buyers[[#This Row],[Income]]&lt;100000,"80K-99K","100K+"))))</f>
        <v>Under 40K</v>
      </c>
      <c r="F199">
        <v>2</v>
      </c>
      <c r="G199" s="1" t="s">
        <v>18</v>
      </c>
      <c r="H199" s="1" t="s">
        <v>24</v>
      </c>
      <c r="I199" s="1" t="s">
        <v>14</v>
      </c>
      <c r="J199">
        <v>1</v>
      </c>
      <c r="K199" s="1" t="s">
        <v>15</v>
      </c>
      <c r="L199" s="1" t="s">
        <v>16</v>
      </c>
      <c r="M199">
        <v>46</v>
      </c>
      <c r="N199" s="1" t="str" cm="1">
        <f t="array" ref="N199">_xlfn.IFS(M199&lt;40, " Adult", M199&lt;60, "Middle Age", M199&gt;=60, "Older Adult")</f>
        <v>Middle Age</v>
      </c>
      <c r="O199" s="1" t="s">
        <v>14</v>
      </c>
      <c r="P199" s="1">
        <f>IF(O199="Yes", 1)</f>
        <v>1</v>
      </c>
      <c r="Q199" s="1"/>
    </row>
    <row r="200" spans="1:17" x14ac:dyDescent="0.25">
      <c r="A200">
        <v>25266</v>
      </c>
      <c r="B200" s="1" t="s">
        <v>34</v>
      </c>
      <c r="C200" s="1" t="s">
        <v>33</v>
      </c>
      <c r="D200" s="2">
        <v>30000</v>
      </c>
      <c r="E200" s="2" t="str">
        <f>IF(bike_buyers[[#This Row],[Income]]&lt;40000,"Under 40K", IF(bike_buyers[[#This Row],[Income]]&lt;60000,"40K-59K", IF(bike_buyers[[#This Row],[Income]]&lt;80000,"60K-79K", IF(bike_buyers[[#This Row],[Income]]&lt;100000,"80K-99K","100K+"))))</f>
        <v>Under 40K</v>
      </c>
      <c r="F200">
        <v>2</v>
      </c>
      <c r="G200" s="1" t="s">
        <v>18</v>
      </c>
      <c r="H200" s="1" t="s">
        <v>19</v>
      </c>
      <c r="I200" s="1" t="s">
        <v>17</v>
      </c>
      <c r="J200">
        <v>2</v>
      </c>
      <c r="K200" s="1" t="s">
        <v>22</v>
      </c>
      <c r="L200" s="1" t="s">
        <v>23</v>
      </c>
      <c r="M200">
        <v>67</v>
      </c>
      <c r="N200" s="1" t="str" cm="1">
        <f t="array" ref="N200">_xlfn.IFS(M200&lt;40, " Adult", M200&lt;60, "Middle Age", M200&gt;=60, "Older Adult")</f>
        <v>Older Adult</v>
      </c>
      <c r="O200" s="1" t="s">
        <v>17</v>
      </c>
      <c r="P200" s="1" t="b">
        <f>IF(O200="Yes", 1)</f>
        <v>0</v>
      </c>
      <c r="Q200" s="1"/>
    </row>
    <row r="201" spans="1:17" x14ac:dyDescent="0.25">
      <c r="A201">
        <v>11139</v>
      </c>
      <c r="B201" s="1" t="s">
        <v>34</v>
      </c>
      <c r="C201" s="1" t="s">
        <v>33</v>
      </c>
      <c r="D201" s="2">
        <v>30000</v>
      </c>
      <c r="E201" s="2" t="str">
        <f>IF(bike_buyers[[#This Row],[Income]]&lt;40000,"Under 40K", IF(bike_buyers[[#This Row],[Income]]&lt;60000,"40K-59K", IF(bike_buyers[[#This Row],[Income]]&lt;80000,"60K-79K", IF(bike_buyers[[#This Row],[Income]]&lt;100000,"80K-99K","100K+"))))</f>
        <v>Under 40K</v>
      </c>
      <c r="F201">
        <v>2</v>
      </c>
      <c r="G201" s="1" t="s">
        <v>18</v>
      </c>
      <c r="H201" s="1" t="s">
        <v>19</v>
      </c>
      <c r="I201" s="1" t="s">
        <v>17</v>
      </c>
      <c r="J201">
        <v>2</v>
      </c>
      <c r="K201" s="1" t="s">
        <v>22</v>
      </c>
      <c r="L201" s="1" t="s">
        <v>23</v>
      </c>
      <c r="M201">
        <v>67</v>
      </c>
      <c r="N201" s="1" t="str" cm="1">
        <f t="array" ref="N201">_xlfn.IFS(M201&lt;40, " Adult", M201&lt;60, "Middle Age", M201&gt;=60, "Older Adult")</f>
        <v>Older Adult</v>
      </c>
      <c r="O201" s="1" t="s">
        <v>17</v>
      </c>
      <c r="P201" s="1" t="b">
        <f>IF(O201="Yes", 1)</f>
        <v>0</v>
      </c>
      <c r="Q201" s="1"/>
    </row>
    <row r="202" spans="1:17" x14ac:dyDescent="0.25">
      <c r="A202">
        <v>11576</v>
      </c>
      <c r="B202" s="1" t="s">
        <v>31</v>
      </c>
      <c r="C202" s="1" t="s">
        <v>32</v>
      </c>
      <c r="D202" s="2">
        <v>30000</v>
      </c>
      <c r="E202" s="2" t="str">
        <f>IF(bike_buyers[[#This Row],[Income]]&lt;40000,"Under 40K", IF(bike_buyers[[#This Row],[Income]]&lt;60000,"40K-59K", IF(bike_buyers[[#This Row],[Income]]&lt;80000,"60K-79K", IF(bike_buyers[[#This Row],[Income]]&lt;100000,"80K-99K","100K+"))))</f>
        <v>Under 40K</v>
      </c>
      <c r="F202">
        <v>1</v>
      </c>
      <c r="G202" s="1" t="s">
        <v>12</v>
      </c>
      <c r="H202" s="1" t="s">
        <v>13</v>
      </c>
      <c r="I202" s="1" t="s">
        <v>14</v>
      </c>
      <c r="J202">
        <v>2</v>
      </c>
      <c r="K202" s="1" t="s">
        <v>15</v>
      </c>
      <c r="L202" s="1" t="s">
        <v>16</v>
      </c>
      <c r="M202">
        <v>41</v>
      </c>
      <c r="N202" s="1" t="str" cm="1">
        <f t="array" ref="N202">_xlfn.IFS(M202&lt;40, " Adult", M202&lt;60, "Middle Age", M202&gt;=60, "Older Adult")</f>
        <v>Middle Age</v>
      </c>
      <c r="O202" s="1" t="s">
        <v>14</v>
      </c>
      <c r="P202" s="1">
        <f>IF(O202="Yes", 1)</f>
        <v>1</v>
      </c>
      <c r="Q202" s="1"/>
    </row>
    <row r="203" spans="1:17" x14ac:dyDescent="0.25">
      <c r="A203">
        <v>19255</v>
      </c>
      <c r="B203" s="1" t="s">
        <v>34</v>
      </c>
      <c r="C203" s="1" t="s">
        <v>32</v>
      </c>
      <c r="D203" s="2">
        <v>10000</v>
      </c>
      <c r="E203" s="2" t="str">
        <f>IF(bike_buyers[[#This Row],[Income]]&lt;40000,"Under 40K", IF(bike_buyers[[#This Row],[Income]]&lt;60000,"40K-59K", IF(bike_buyers[[#This Row],[Income]]&lt;80000,"60K-79K", IF(bike_buyers[[#This Row],[Income]]&lt;100000,"80K-99K","100K+"))))</f>
        <v>Under 40K</v>
      </c>
      <c r="F203">
        <v>2</v>
      </c>
      <c r="G203" s="1" t="s">
        <v>18</v>
      </c>
      <c r="H203" s="1" t="s">
        <v>24</v>
      </c>
      <c r="I203" s="1" t="s">
        <v>14</v>
      </c>
      <c r="J203">
        <v>1</v>
      </c>
      <c r="K203" s="1" t="s">
        <v>15</v>
      </c>
      <c r="L203" s="1" t="s">
        <v>16</v>
      </c>
      <c r="M203">
        <v>51</v>
      </c>
      <c r="N203" s="1" t="str" cm="1">
        <f t="array" ref="N203">_xlfn.IFS(M203&lt;40, " Adult", M203&lt;60, "Middle Age", M203&gt;=60, "Older Adult")</f>
        <v>Middle Age</v>
      </c>
      <c r="O203" s="1" t="s">
        <v>14</v>
      </c>
      <c r="P203" s="1">
        <f>IF(O203="Yes", 1)</f>
        <v>1</v>
      </c>
      <c r="Q203" s="1"/>
    </row>
    <row r="204" spans="1:17" x14ac:dyDescent="0.25">
      <c r="A204">
        <v>14547</v>
      </c>
      <c r="B204" s="1" t="s">
        <v>31</v>
      </c>
      <c r="C204" s="1" t="s">
        <v>32</v>
      </c>
      <c r="D204" s="2">
        <v>10000</v>
      </c>
      <c r="E204" s="2" t="str">
        <f>IF(bike_buyers[[#This Row],[Income]]&lt;40000,"Under 40K", IF(bike_buyers[[#This Row],[Income]]&lt;60000,"40K-59K", IF(bike_buyers[[#This Row],[Income]]&lt;80000,"60K-79K", IF(bike_buyers[[#This Row],[Income]]&lt;100000,"80K-99K","100K+"))))</f>
        <v>Under 40K</v>
      </c>
      <c r="F204">
        <v>2</v>
      </c>
      <c r="G204" s="1" t="s">
        <v>18</v>
      </c>
      <c r="H204" s="1" t="s">
        <v>24</v>
      </c>
      <c r="I204" s="1" t="s">
        <v>14</v>
      </c>
      <c r="J204">
        <v>0</v>
      </c>
      <c r="K204" s="1" t="s">
        <v>25</v>
      </c>
      <c r="L204" s="1" t="s">
        <v>16</v>
      </c>
      <c r="M204">
        <v>51</v>
      </c>
      <c r="N204" s="1" t="str" cm="1">
        <f t="array" ref="N204">_xlfn.IFS(M204&lt;40, " Adult", M204&lt;60, "Middle Age", M204&gt;=60, "Older Adult")</f>
        <v>Middle Age</v>
      </c>
      <c r="O204" s="1" t="s">
        <v>17</v>
      </c>
      <c r="P204" s="1" t="b">
        <f>IF(O204="Yes", 1)</f>
        <v>0</v>
      </c>
      <c r="Q204" s="1"/>
    </row>
    <row r="205" spans="1:17" x14ac:dyDescent="0.25">
      <c r="A205">
        <v>27169</v>
      </c>
      <c r="B205" s="1" t="s">
        <v>34</v>
      </c>
      <c r="C205" s="1" t="s">
        <v>32</v>
      </c>
      <c r="D205" s="2">
        <v>30000</v>
      </c>
      <c r="E205" s="2" t="str">
        <f>IF(bike_buyers[[#This Row],[Income]]&lt;40000,"Under 40K", IF(bike_buyers[[#This Row],[Income]]&lt;60000,"40K-59K", IF(bike_buyers[[#This Row],[Income]]&lt;80000,"60K-79K", IF(bike_buyers[[#This Row],[Income]]&lt;100000,"80K-99K","100K+"))))</f>
        <v>Under 40K</v>
      </c>
      <c r="F205">
        <v>0</v>
      </c>
      <c r="G205" s="1" t="s">
        <v>26</v>
      </c>
      <c r="H205" s="1" t="s">
        <v>24</v>
      </c>
      <c r="I205" s="1" t="s">
        <v>14</v>
      </c>
      <c r="J205">
        <v>1</v>
      </c>
      <c r="K205" s="1" t="s">
        <v>21</v>
      </c>
      <c r="L205" s="1" t="s">
        <v>16</v>
      </c>
      <c r="M205">
        <v>34</v>
      </c>
      <c r="N205" s="1" t="str" cm="1">
        <f t="array" ref="N205">_xlfn.IFS(M205&lt;40, " Adult", M205&lt;60, "Middle Age", M205&gt;=60, "Older Adult")</f>
        <v xml:space="preserve"> Adult</v>
      </c>
      <c r="O205" s="1" t="s">
        <v>14</v>
      </c>
      <c r="P205" s="1">
        <f>IF(O205="Yes", 1)</f>
        <v>1</v>
      </c>
      <c r="Q205" s="1"/>
    </row>
    <row r="206" spans="1:17" x14ac:dyDescent="0.25">
      <c r="A206">
        <v>14805</v>
      </c>
      <c r="B206" s="1" t="s">
        <v>34</v>
      </c>
      <c r="C206" s="1" t="s">
        <v>33</v>
      </c>
      <c r="D206" s="2">
        <v>10000</v>
      </c>
      <c r="E206" s="2" t="str">
        <f>IF(bike_buyers[[#This Row],[Income]]&lt;40000,"Under 40K", IF(bike_buyers[[#This Row],[Income]]&lt;60000,"40K-59K", IF(bike_buyers[[#This Row],[Income]]&lt;80000,"60K-79K", IF(bike_buyers[[#This Row],[Income]]&lt;100000,"80K-99K","100K+"))))</f>
        <v>Under 40K</v>
      </c>
      <c r="F206">
        <v>3</v>
      </c>
      <c r="G206" s="1" t="s">
        <v>28</v>
      </c>
      <c r="H206" s="1" t="s">
        <v>24</v>
      </c>
      <c r="I206" s="1" t="s">
        <v>14</v>
      </c>
      <c r="J206">
        <v>2</v>
      </c>
      <c r="K206" s="1" t="s">
        <v>15</v>
      </c>
      <c r="L206" s="1" t="s">
        <v>16</v>
      </c>
      <c r="M206">
        <v>43</v>
      </c>
      <c r="N206" s="1" t="str" cm="1">
        <f t="array" ref="N206">_xlfn.IFS(M206&lt;40, " Adult", M206&lt;60, "Middle Age", M206&gt;=60, "Older Adult")</f>
        <v>Middle Age</v>
      </c>
      <c r="O206" s="1" t="s">
        <v>17</v>
      </c>
      <c r="P206" s="1" t="b">
        <f>IF(O206="Yes", 1)</f>
        <v>0</v>
      </c>
      <c r="Q206" s="1"/>
    </row>
    <row r="207" spans="1:17" x14ac:dyDescent="0.25">
      <c r="A207">
        <v>19389</v>
      </c>
      <c r="B207" s="1" t="s">
        <v>34</v>
      </c>
      <c r="C207" s="1" t="s">
        <v>32</v>
      </c>
      <c r="D207" s="2">
        <v>30000</v>
      </c>
      <c r="E207" s="2" t="str">
        <f>IF(bike_buyers[[#This Row],[Income]]&lt;40000,"Under 40K", IF(bike_buyers[[#This Row],[Income]]&lt;60000,"40K-59K", IF(bike_buyers[[#This Row],[Income]]&lt;80000,"60K-79K", IF(bike_buyers[[#This Row],[Income]]&lt;100000,"80K-99K","100K+"))))</f>
        <v>Under 40K</v>
      </c>
      <c r="F207">
        <v>0</v>
      </c>
      <c r="G207" s="1" t="s">
        <v>18</v>
      </c>
      <c r="H207" s="1" t="s">
        <v>19</v>
      </c>
      <c r="I207" s="1" t="s">
        <v>17</v>
      </c>
      <c r="J207">
        <v>1</v>
      </c>
      <c r="K207" s="1" t="s">
        <v>21</v>
      </c>
      <c r="L207" s="1" t="s">
        <v>16</v>
      </c>
      <c r="M207">
        <v>28</v>
      </c>
      <c r="N207" s="1" t="str" cm="1">
        <f t="array" ref="N207">_xlfn.IFS(M207&lt;40, " Adult", M207&lt;60, "Middle Age", M207&gt;=60, "Older Adult")</f>
        <v xml:space="preserve"> Adult</v>
      </c>
      <c r="O207" s="1" t="s">
        <v>17</v>
      </c>
      <c r="P207" s="1" t="b">
        <f>IF(O207="Yes", 1)</f>
        <v>0</v>
      </c>
      <c r="Q207" s="1"/>
    </row>
    <row r="208" spans="1:17" x14ac:dyDescent="0.25">
      <c r="A208">
        <v>12718</v>
      </c>
      <c r="B208" s="1" t="s">
        <v>34</v>
      </c>
      <c r="C208" s="1" t="s">
        <v>33</v>
      </c>
      <c r="D208" s="2">
        <v>30000</v>
      </c>
      <c r="E208" s="2" t="str">
        <f>IF(bike_buyers[[#This Row],[Income]]&lt;40000,"Under 40K", IF(bike_buyers[[#This Row],[Income]]&lt;60000,"40K-59K", IF(bike_buyers[[#This Row],[Income]]&lt;80000,"60K-79K", IF(bike_buyers[[#This Row],[Income]]&lt;100000,"80K-99K","100K+"))))</f>
        <v>Under 40K</v>
      </c>
      <c r="F208">
        <v>0</v>
      </c>
      <c r="G208" s="1" t="s">
        <v>18</v>
      </c>
      <c r="H208" s="1" t="s">
        <v>19</v>
      </c>
      <c r="I208" s="1" t="s">
        <v>14</v>
      </c>
      <c r="J208">
        <v>1</v>
      </c>
      <c r="K208" s="1" t="s">
        <v>21</v>
      </c>
      <c r="L208" s="1" t="s">
        <v>16</v>
      </c>
      <c r="M208">
        <v>31</v>
      </c>
      <c r="N208" s="1" t="str" cm="1">
        <f t="array" ref="N208">_xlfn.IFS(M208&lt;40, " Adult", M208&lt;60, "Middle Age", M208&gt;=60, "Older Adult")</f>
        <v xml:space="preserve"> Adult</v>
      </c>
      <c r="O208" s="1" t="s">
        <v>17</v>
      </c>
      <c r="P208" s="1" t="b">
        <f>IF(O208="Yes", 1)</f>
        <v>0</v>
      </c>
      <c r="Q208" s="1"/>
    </row>
    <row r="209" spans="1:17" x14ac:dyDescent="0.25">
      <c r="A209">
        <v>15019</v>
      </c>
      <c r="B209" s="1" t="s">
        <v>34</v>
      </c>
      <c r="C209" s="1" t="s">
        <v>33</v>
      </c>
      <c r="D209" s="2">
        <v>30000</v>
      </c>
      <c r="E209" s="2" t="str">
        <f>IF(bike_buyers[[#This Row],[Income]]&lt;40000,"Under 40K", IF(bike_buyers[[#This Row],[Income]]&lt;60000,"40K-59K", IF(bike_buyers[[#This Row],[Income]]&lt;80000,"60K-79K", IF(bike_buyers[[#This Row],[Income]]&lt;100000,"80K-99K","100K+"))))</f>
        <v>Under 40K</v>
      </c>
      <c r="F209">
        <v>3</v>
      </c>
      <c r="G209" s="1" t="s">
        <v>26</v>
      </c>
      <c r="H209" s="1" t="s">
        <v>13</v>
      </c>
      <c r="I209" s="1" t="s">
        <v>14</v>
      </c>
      <c r="J209">
        <v>2</v>
      </c>
      <c r="K209" s="1" t="s">
        <v>22</v>
      </c>
      <c r="L209" s="1" t="s">
        <v>23</v>
      </c>
      <c r="M209">
        <v>55</v>
      </c>
      <c r="N209" s="1" t="str" cm="1">
        <f t="array" ref="N209">_xlfn.IFS(M209&lt;40, " Adult", M209&lt;60, "Middle Age", M209&gt;=60, "Older Adult")</f>
        <v>Middle Age</v>
      </c>
      <c r="O209" s="1" t="s">
        <v>17</v>
      </c>
      <c r="P209" s="1" t="b">
        <f>IF(O209="Yes", 1)</f>
        <v>0</v>
      </c>
      <c r="Q209" s="1"/>
    </row>
    <row r="210" spans="1:17" x14ac:dyDescent="0.25">
      <c r="A210">
        <v>28488</v>
      </c>
      <c r="B210" s="1" t="s">
        <v>34</v>
      </c>
      <c r="C210" s="1" t="s">
        <v>32</v>
      </c>
      <c r="D210" s="2">
        <v>20000</v>
      </c>
      <c r="E210" s="2" t="str">
        <f>IF(bike_buyers[[#This Row],[Income]]&lt;40000,"Under 40K", IF(bike_buyers[[#This Row],[Income]]&lt;60000,"40K-59K", IF(bike_buyers[[#This Row],[Income]]&lt;80000,"60K-79K", IF(bike_buyers[[#This Row],[Income]]&lt;100000,"80K-99K","100K+"))))</f>
        <v>Under 40K</v>
      </c>
      <c r="F210">
        <v>0</v>
      </c>
      <c r="G210" s="1" t="s">
        <v>18</v>
      </c>
      <c r="H210" s="1" t="s">
        <v>24</v>
      </c>
      <c r="I210" s="1" t="s">
        <v>14</v>
      </c>
      <c r="J210">
        <v>0</v>
      </c>
      <c r="K210" s="1" t="s">
        <v>15</v>
      </c>
      <c r="L210" s="1" t="s">
        <v>23</v>
      </c>
      <c r="M210">
        <v>28</v>
      </c>
      <c r="N210" s="1" t="str" cm="1">
        <f t="array" ref="N210">_xlfn.IFS(M210&lt;40, " Adult", M210&lt;60, "Middle Age", M210&gt;=60, "Older Adult")</f>
        <v xml:space="preserve"> Adult</v>
      </c>
      <c r="O210" s="1" t="s">
        <v>14</v>
      </c>
      <c r="P210" s="1">
        <f>IF(O210="Yes", 1)</f>
        <v>1</v>
      </c>
      <c r="Q210" s="1"/>
    </row>
    <row r="211" spans="1:17" x14ac:dyDescent="0.25">
      <c r="A211">
        <v>27814</v>
      </c>
      <c r="B211" s="1" t="s">
        <v>34</v>
      </c>
      <c r="C211" s="1" t="s">
        <v>33</v>
      </c>
      <c r="D211" s="2">
        <v>30000</v>
      </c>
      <c r="E211" s="2" t="str">
        <f>IF(bike_buyers[[#This Row],[Income]]&lt;40000,"Under 40K", IF(bike_buyers[[#This Row],[Income]]&lt;60000,"40K-59K", IF(bike_buyers[[#This Row],[Income]]&lt;80000,"60K-79K", IF(bike_buyers[[#This Row],[Income]]&lt;100000,"80K-99K","100K+"))))</f>
        <v>Under 40K</v>
      </c>
      <c r="F211">
        <v>3</v>
      </c>
      <c r="G211" s="1" t="s">
        <v>18</v>
      </c>
      <c r="H211" s="1" t="s">
        <v>19</v>
      </c>
      <c r="I211" s="1" t="s">
        <v>17</v>
      </c>
      <c r="J211">
        <v>1</v>
      </c>
      <c r="K211" s="1" t="s">
        <v>15</v>
      </c>
      <c r="L211" s="1" t="s">
        <v>16</v>
      </c>
      <c r="M211">
        <v>26</v>
      </c>
      <c r="N211" s="1" t="str" cm="1">
        <f t="array" ref="N211">_xlfn.IFS(M211&lt;40, " Adult", M211&lt;60, "Middle Age", M211&gt;=60, "Older Adult")</f>
        <v xml:space="preserve"> Adult</v>
      </c>
      <c r="O211" s="1" t="s">
        <v>17</v>
      </c>
      <c r="P211" s="1" t="b">
        <f>IF(O211="Yes", 1)</f>
        <v>0</v>
      </c>
      <c r="Q211" s="1"/>
    </row>
    <row r="212" spans="1:17" x14ac:dyDescent="0.25">
      <c r="A212">
        <v>22175</v>
      </c>
      <c r="B212" s="1" t="s">
        <v>31</v>
      </c>
      <c r="C212" s="1" t="s">
        <v>33</v>
      </c>
      <c r="D212" s="2">
        <v>30000</v>
      </c>
      <c r="E212" s="2" t="str">
        <f>IF(bike_buyers[[#This Row],[Income]]&lt;40000,"Under 40K", IF(bike_buyers[[#This Row],[Income]]&lt;60000,"40K-59K", IF(bike_buyers[[#This Row],[Income]]&lt;80000,"60K-79K", IF(bike_buyers[[#This Row],[Income]]&lt;100000,"80K-99K","100K+"))))</f>
        <v>Under 40K</v>
      </c>
      <c r="F212">
        <v>3</v>
      </c>
      <c r="G212" s="1" t="s">
        <v>26</v>
      </c>
      <c r="H212" s="1" t="s">
        <v>13</v>
      </c>
      <c r="I212" s="1" t="s">
        <v>14</v>
      </c>
      <c r="J212">
        <v>2</v>
      </c>
      <c r="K212" s="1" t="s">
        <v>22</v>
      </c>
      <c r="L212" s="1" t="s">
        <v>23</v>
      </c>
      <c r="M212">
        <v>53</v>
      </c>
      <c r="N212" s="1" t="str" cm="1">
        <f t="array" ref="N212">_xlfn.IFS(M212&lt;40, " Adult", M212&lt;60, "Middle Age", M212&gt;=60, "Older Adult")</f>
        <v>Middle Age</v>
      </c>
      <c r="O212" s="1" t="s">
        <v>14</v>
      </c>
      <c r="P212" s="1">
        <f>IF(O212="Yes", 1)</f>
        <v>1</v>
      </c>
      <c r="Q212" s="1"/>
    </row>
    <row r="213" spans="1:17" x14ac:dyDescent="0.25">
      <c r="A213">
        <v>29447</v>
      </c>
      <c r="B213" s="1" t="s">
        <v>34</v>
      </c>
      <c r="C213" s="1" t="s">
        <v>33</v>
      </c>
      <c r="D213" s="2">
        <v>10000</v>
      </c>
      <c r="E213" s="2" t="str">
        <f>IF(bike_buyers[[#This Row],[Income]]&lt;40000,"Under 40K", IF(bike_buyers[[#This Row],[Income]]&lt;60000,"40K-59K", IF(bike_buyers[[#This Row],[Income]]&lt;80000,"60K-79K", IF(bike_buyers[[#This Row],[Income]]&lt;100000,"80K-99K","100K+"))))</f>
        <v>Under 40K</v>
      </c>
      <c r="F213">
        <v>2</v>
      </c>
      <c r="G213" s="1" t="s">
        <v>12</v>
      </c>
      <c r="H213" s="1" t="s">
        <v>19</v>
      </c>
      <c r="I213" s="1" t="s">
        <v>17</v>
      </c>
      <c r="J213">
        <v>1</v>
      </c>
      <c r="K213" s="1" t="s">
        <v>21</v>
      </c>
      <c r="L213" s="1" t="s">
        <v>16</v>
      </c>
      <c r="M213">
        <v>68</v>
      </c>
      <c r="N213" s="1" t="str" cm="1">
        <f t="array" ref="N213">_xlfn.IFS(M213&lt;40, " Adult", M213&lt;60, "Middle Age", M213&gt;=60, "Older Adult")</f>
        <v>Older Adult</v>
      </c>
      <c r="O213" s="1" t="s">
        <v>17</v>
      </c>
      <c r="P213" s="1" t="b">
        <f>IF(O213="Yes", 1)</f>
        <v>0</v>
      </c>
      <c r="Q213" s="1"/>
    </row>
    <row r="214" spans="1:17" x14ac:dyDescent="0.25">
      <c r="A214">
        <v>27824</v>
      </c>
      <c r="B214" s="1" t="s">
        <v>34</v>
      </c>
      <c r="C214" s="1" t="s">
        <v>33</v>
      </c>
      <c r="D214" s="2">
        <v>30000</v>
      </c>
      <c r="E214" s="2" t="str">
        <f>IF(bike_buyers[[#This Row],[Income]]&lt;40000,"Under 40K", IF(bike_buyers[[#This Row],[Income]]&lt;60000,"40K-59K", IF(bike_buyers[[#This Row],[Income]]&lt;80000,"60K-79K", IF(bike_buyers[[#This Row],[Income]]&lt;100000,"80K-99K","100K+"))))</f>
        <v>Under 40K</v>
      </c>
      <c r="F214">
        <v>3</v>
      </c>
      <c r="G214" s="1" t="s">
        <v>18</v>
      </c>
      <c r="H214" s="1" t="s">
        <v>19</v>
      </c>
      <c r="I214" s="1" t="s">
        <v>14</v>
      </c>
      <c r="J214">
        <v>2</v>
      </c>
      <c r="K214" s="1" t="s">
        <v>15</v>
      </c>
      <c r="L214" s="1" t="s">
        <v>16</v>
      </c>
      <c r="M214">
        <v>28</v>
      </c>
      <c r="N214" s="1" t="str" cm="1">
        <f t="array" ref="N214">_xlfn.IFS(M214&lt;40, " Adult", M214&lt;60, "Middle Age", M214&gt;=60, "Older Adult")</f>
        <v xml:space="preserve"> Adult</v>
      </c>
      <c r="O214" s="1" t="s">
        <v>14</v>
      </c>
      <c r="P214" s="1">
        <f>IF(O214="Yes", 1)</f>
        <v>1</v>
      </c>
      <c r="Q214" s="1"/>
    </row>
    <row r="215" spans="1:17" x14ac:dyDescent="0.25">
      <c r="A215">
        <v>12731</v>
      </c>
      <c r="B215" s="1" t="s">
        <v>34</v>
      </c>
      <c r="C215" s="1" t="s">
        <v>32</v>
      </c>
      <c r="D215" s="2">
        <v>30000</v>
      </c>
      <c r="E215" s="2" t="str">
        <f>IF(bike_buyers[[#This Row],[Income]]&lt;40000,"Under 40K", IF(bike_buyers[[#This Row],[Income]]&lt;60000,"40K-59K", IF(bike_buyers[[#This Row],[Income]]&lt;80000,"60K-79K", IF(bike_buyers[[#This Row],[Income]]&lt;100000,"80K-99K","100K+"))))</f>
        <v>Under 40K</v>
      </c>
      <c r="F215">
        <v>0</v>
      </c>
      <c r="G215" s="1" t="s">
        <v>26</v>
      </c>
      <c r="H215" s="1" t="s">
        <v>24</v>
      </c>
      <c r="I215" s="1" t="s">
        <v>17</v>
      </c>
      <c r="J215">
        <v>1</v>
      </c>
      <c r="K215" s="1" t="s">
        <v>25</v>
      </c>
      <c r="L215" s="1" t="s">
        <v>16</v>
      </c>
      <c r="M215">
        <v>32</v>
      </c>
      <c r="N215" s="1" t="str" cm="1">
        <f t="array" ref="N215">_xlfn.IFS(M215&lt;40, " Adult", M215&lt;60, "Middle Age", M215&gt;=60, "Older Adult")</f>
        <v xml:space="preserve"> Adult</v>
      </c>
      <c r="O215" s="1" t="s">
        <v>17</v>
      </c>
      <c r="P215" s="1" t="b">
        <f>IF(O215="Yes", 1)</f>
        <v>0</v>
      </c>
      <c r="Q215" s="1"/>
    </row>
    <row r="216" spans="1:17" x14ac:dyDescent="0.25">
      <c r="A216">
        <v>11383</v>
      </c>
      <c r="B216" s="1" t="s">
        <v>31</v>
      </c>
      <c r="C216" s="1" t="s">
        <v>33</v>
      </c>
      <c r="D216" s="2">
        <v>30000</v>
      </c>
      <c r="E216" s="2" t="str">
        <f>IF(bike_buyers[[#This Row],[Income]]&lt;40000,"Under 40K", IF(bike_buyers[[#This Row],[Income]]&lt;60000,"40K-59K", IF(bike_buyers[[#This Row],[Income]]&lt;80000,"60K-79K", IF(bike_buyers[[#This Row],[Income]]&lt;100000,"80K-99K","100K+"))))</f>
        <v>Under 40K</v>
      </c>
      <c r="F216">
        <v>3</v>
      </c>
      <c r="G216" s="1" t="s">
        <v>29</v>
      </c>
      <c r="H216" s="1" t="s">
        <v>19</v>
      </c>
      <c r="I216" s="1" t="s">
        <v>14</v>
      </c>
      <c r="J216">
        <v>0</v>
      </c>
      <c r="K216" s="1" t="s">
        <v>15</v>
      </c>
      <c r="L216" s="1" t="s">
        <v>16</v>
      </c>
      <c r="M216">
        <v>46</v>
      </c>
      <c r="N216" s="1" t="str" cm="1">
        <f t="array" ref="N216">_xlfn.IFS(M216&lt;40, " Adult", M216&lt;60, "Middle Age", M216&gt;=60, "Older Adult")</f>
        <v>Middle Age</v>
      </c>
      <c r="O216" s="1" t="s">
        <v>17</v>
      </c>
      <c r="P216" s="1" t="b">
        <f>IF(O216="Yes", 1)</f>
        <v>0</v>
      </c>
      <c r="Q216" s="1"/>
    </row>
    <row r="217" spans="1:17" x14ac:dyDescent="0.25">
      <c r="A217">
        <v>16559</v>
      </c>
      <c r="B217" s="1" t="s">
        <v>34</v>
      </c>
      <c r="C217" s="1" t="s">
        <v>33</v>
      </c>
      <c r="D217" s="2">
        <v>10000</v>
      </c>
      <c r="E217" s="2" t="str">
        <f>IF(bike_buyers[[#This Row],[Income]]&lt;40000,"Under 40K", IF(bike_buyers[[#This Row],[Income]]&lt;60000,"40K-59K", IF(bike_buyers[[#This Row],[Income]]&lt;80000,"60K-79K", IF(bike_buyers[[#This Row],[Income]]&lt;100000,"80K-99K","100K+"))))</f>
        <v>Under 40K</v>
      </c>
      <c r="F217">
        <v>2</v>
      </c>
      <c r="G217" s="1" t="s">
        <v>26</v>
      </c>
      <c r="H217" s="1" t="s">
        <v>24</v>
      </c>
      <c r="I217" s="1" t="s">
        <v>14</v>
      </c>
      <c r="J217">
        <v>0</v>
      </c>
      <c r="K217" s="1" t="s">
        <v>15</v>
      </c>
      <c r="L217" s="1" t="s">
        <v>16</v>
      </c>
      <c r="M217">
        <v>36</v>
      </c>
      <c r="N217" s="1" t="str" cm="1">
        <f t="array" ref="N217">_xlfn.IFS(M217&lt;40, " Adult", M217&lt;60, "Middle Age", M217&gt;=60, "Older Adult")</f>
        <v xml:space="preserve"> Adult</v>
      </c>
      <c r="O217" s="1" t="s">
        <v>14</v>
      </c>
      <c r="P217" s="1">
        <f>IF(O217="Yes", 1)</f>
        <v>1</v>
      </c>
      <c r="Q217" s="1"/>
    </row>
    <row r="218" spans="1:17" x14ac:dyDescent="0.25">
      <c r="A218">
        <v>20277</v>
      </c>
      <c r="B218" s="1" t="s">
        <v>31</v>
      </c>
      <c r="C218" s="1" t="s">
        <v>33</v>
      </c>
      <c r="D218" s="2">
        <v>30000</v>
      </c>
      <c r="E218" s="2" t="str">
        <f>IF(bike_buyers[[#This Row],[Income]]&lt;40000,"Under 40K", IF(bike_buyers[[#This Row],[Income]]&lt;60000,"40K-59K", IF(bike_buyers[[#This Row],[Income]]&lt;80000,"60K-79K", IF(bike_buyers[[#This Row],[Income]]&lt;100000,"80K-99K","100K+"))))</f>
        <v>Under 40K</v>
      </c>
      <c r="F218">
        <v>2</v>
      </c>
      <c r="G218" s="1" t="s">
        <v>18</v>
      </c>
      <c r="H218" s="1" t="s">
        <v>19</v>
      </c>
      <c r="I218" s="1" t="s">
        <v>17</v>
      </c>
      <c r="J218">
        <v>2</v>
      </c>
      <c r="K218" s="1" t="s">
        <v>15</v>
      </c>
      <c r="L218" s="1" t="s">
        <v>23</v>
      </c>
      <c r="M218">
        <v>69</v>
      </c>
      <c r="N218" s="1" t="str" cm="1">
        <f t="array" ref="N218">_xlfn.IFS(M218&lt;40, " Adult", M218&lt;60, "Middle Age", M218&gt;=60, "Older Adult")</f>
        <v>Older Adult</v>
      </c>
      <c r="O218" s="1" t="s">
        <v>17</v>
      </c>
      <c r="P218" s="1" t="b">
        <f>IF(O218="Yes", 1)</f>
        <v>0</v>
      </c>
      <c r="Q218" s="1"/>
    </row>
    <row r="219" spans="1:17" x14ac:dyDescent="0.25">
      <c r="A219">
        <v>12389</v>
      </c>
      <c r="B219" s="1" t="s">
        <v>34</v>
      </c>
      <c r="C219" s="1" t="s">
        <v>32</v>
      </c>
      <c r="D219" s="2">
        <v>30000</v>
      </c>
      <c r="E219" s="2" t="str">
        <f>IF(bike_buyers[[#This Row],[Income]]&lt;40000,"Under 40K", IF(bike_buyers[[#This Row],[Income]]&lt;60000,"40K-59K", IF(bike_buyers[[#This Row],[Income]]&lt;80000,"60K-79K", IF(bike_buyers[[#This Row],[Income]]&lt;100000,"80K-99K","100K+"))))</f>
        <v>Under 40K</v>
      </c>
      <c r="F219">
        <v>0</v>
      </c>
      <c r="G219" s="1" t="s">
        <v>26</v>
      </c>
      <c r="H219" s="1" t="s">
        <v>24</v>
      </c>
      <c r="I219" s="1" t="s">
        <v>17</v>
      </c>
      <c r="J219">
        <v>1</v>
      </c>
      <c r="K219" s="1" t="s">
        <v>21</v>
      </c>
      <c r="L219" s="1" t="s">
        <v>16</v>
      </c>
      <c r="M219">
        <v>34</v>
      </c>
      <c r="N219" s="1" t="str" cm="1">
        <f t="array" ref="N219">_xlfn.IFS(M219&lt;40, " Adult", M219&lt;60, "Middle Age", M219&gt;=60, "Older Adult")</f>
        <v xml:space="preserve"> Adult</v>
      </c>
      <c r="O219" s="1" t="s">
        <v>17</v>
      </c>
      <c r="P219" s="1" t="b">
        <f>IF(O219="Yes", 1)</f>
        <v>0</v>
      </c>
      <c r="Q219" s="1"/>
    </row>
    <row r="220" spans="1:17" x14ac:dyDescent="0.25">
      <c r="A220">
        <v>12236</v>
      </c>
      <c r="B220" s="1" t="s">
        <v>31</v>
      </c>
      <c r="C220" s="1" t="s">
        <v>33</v>
      </c>
      <c r="D220" s="2">
        <v>20000</v>
      </c>
      <c r="E220" s="2" t="str">
        <f>IF(bike_buyers[[#This Row],[Income]]&lt;40000,"Under 40K", IF(bike_buyers[[#This Row],[Income]]&lt;60000,"40K-59K", IF(bike_buyers[[#This Row],[Income]]&lt;80000,"60K-79K", IF(bike_buyers[[#This Row],[Income]]&lt;100000,"80K-99K","100K+"))))</f>
        <v>Under 40K</v>
      </c>
      <c r="F220">
        <v>1</v>
      </c>
      <c r="G220" s="1" t="s">
        <v>18</v>
      </c>
      <c r="H220" s="1" t="s">
        <v>24</v>
      </c>
      <c r="I220" s="1" t="s">
        <v>14</v>
      </c>
      <c r="J220">
        <v>0</v>
      </c>
      <c r="K220" s="1" t="s">
        <v>15</v>
      </c>
      <c r="L220" s="1" t="s">
        <v>16</v>
      </c>
      <c r="M220">
        <v>65</v>
      </c>
      <c r="N220" s="1" t="str" cm="1">
        <f t="array" ref="N220">_xlfn.IFS(M220&lt;40, " Adult", M220&lt;60, "Middle Age", M220&gt;=60, "Older Adult")</f>
        <v>Older Adult</v>
      </c>
      <c r="O220" s="1" t="s">
        <v>17</v>
      </c>
      <c r="P220" s="1" t="b">
        <f>IF(O220="Yes", 1)</f>
        <v>0</v>
      </c>
      <c r="Q220" s="1"/>
    </row>
    <row r="221" spans="1:17" x14ac:dyDescent="0.25">
      <c r="A221">
        <v>13662</v>
      </c>
      <c r="B221" s="1" t="s">
        <v>34</v>
      </c>
      <c r="C221" s="1" t="s">
        <v>32</v>
      </c>
      <c r="D221" s="2">
        <v>20000</v>
      </c>
      <c r="E221" s="2" t="str">
        <f>IF(bike_buyers[[#This Row],[Income]]&lt;40000,"Under 40K", IF(bike_buyers[[#This Row],[Income]]&lt;60000,"40K-59K", IF(bike_buyers[[#This Row],[Income]]&lt;80000,"60K-79K", IF(bike_buyers[[#This Row],[Income]]&lt;100000,"80K-99K","100K+"))))</f>
        <v>Under 40K</v>
      </c>
      <c r="F221">
        <v>0</v>
      </c>
      <c r="G221" s="1" t="s">
        <v>28</v>
      </c>
      <c r="H221" s="1" t="s">
        <v>24</v>
      </c>
      <c r="I221" s="1" t="s">
        <v>14</v>
      </c>
      <c r="J221">
        <v>2</v>
      </c>
      <c r="K221" s="1" t="s">
        <v>25</v>
      </c>
      <c r="L221" s="1" t="s">
        <v>16</v>
      </c>
      <c r="M221">
        <v>31</v>
      </c>
      <c r="N221" s="1" t="str" cm="1">
        <f t="array" ref="N221">_xlfn.IFS(M221&lt;40, " Adult", M221&lt;60, "Middle Age", M221&gt;=60, "Older Adult")</f>
        <v xml:space="preserve"> Adult</v>
      </c>
      <c r="O221" s="1" t="s">
        <v>14</v>
      </c>
      <c r="P221" s="1">
        <f>IF(O221="Yes", 1)</f>
        <v>1</v>
      </c>
      <c r="Q221" s="1"/>
    </row>
    <row r="222" spans="1:17" x14ac:dyDescent="0.25">
      <c r="A222">
        <v>19331</v>
      </c>
      <c r="B222" s="1" t="s">
        <v>34</v>
      </c>
      <c r="C222" s="1" t="s">
        <v>32</v>
      </c>
      <c r="D222" s="2">
        <v>20000</v>
      </c>
      <c r="E222" s="2" t="str">
        <f>IF(bike_buyers[[#This Row],[Income]]&lt;40000,"Under 40K", IF(bike_buyers[[#This Row],[Income]]&lt;60000,"40K-59K", IF(bike_buyers[[#This Row],[Income]]&lt;80000,"60K-79K", IF(bike_buyers[[#This Row],[Income]]&lt;100000,"80K-99K","100K+"))))</f>
        <v>Under 40K</v>
      </c>
      <c r="F222">
        <v>2</v>
      </c>
      <c r="G222" s="1" t="s">
        <v>26</v>
      </c>
      <c r="H222" s="1" t="s">
        <v>24</v>
      </c>
      <c r="I222" s="1" t="s">
        <v>14</v>
      </c>
      <c r="J222">
        <v>1</v>
      </c>
      <c r="K222" s="1" t="s">
        <v>15</v>
      </c>
      <c r="L222" s="1" t="s">
        <v>16</v>
      </c>
      <c r="M222">
        <v>40</v>
      </c>
      <c r="N222" s="1" t="str" cm="1">
        <f t="array" ref="N222">_xlfn.IFS(M222&lt;40, " Adult", M222&lt;60, "Middle Age", M222&gt;=60, "Older Adult")</f>
        <v>Middle Age</v>
      </c>
      <c r="O222" s="1" t="s">
        <v>17</v>
      </c>
      <c r="P222" s="1" t="b">
        <f>IF(O222="Yes", 1)</f>
        <v>0</v>
      </c>
      <c r="Q222" s="1"/>
    </row>
    <row r="223" spans="1:17" x14ac:dyDescent="0.25">
      <c r="A223">
        <v>17754</v>
      </c>
      <c r="B223" s="1" t="s">
        <v>34</v>
      </c>
      <c r="C223" s="1" t="s">
        <v>33</v>
      </c>
      <c r="D223" s="2">
        <v>30000</v>
      </c>
      <c r="E223" s="2" t="str">
        <f>IF(bike_buyers[[#This Row],[Income]]&lt;40000,"Under 40K", IF(bike_buyers[[#This Row],[Income]]&lt;60000,"40K-59K", IF(bike_buyers[[#This Row],[Income]]&lt;80000,"60K-79K", IF(bike_buyers[[#This Row],[Income]]&lt;100000,"80K-99K","100K+"))))</f>
        <v>Under 40K</v>
      </c>
      <c r="F223">
        <v>3</v>
      </c>
      <c r="G223" s="1" t="s">
        <v>12</v>
      </c>
      <c r="H223" s="1" t="s">
        <v>19</v>
      </c>
      <c r="I223" s="1" t="s">
        <v>14</v>
      </c>
      <c r="J223">
        <v>0</v>
      </c>
      <c r="K223" s="1" t="s">
        <v>15</v>
      </c>
      <c r="L223" s="1" t="s">
        <v>16</v>
      </c>
      <c r="M223">
        <v>46</v>
      </c>
      <c r="N223" s="1" t="str" cm="1">
        <f t="array" ref="N223">_xlfn.IFS(M223&lt;40, " Adult", M223&lt;60, "Middle Age", M223&gt;=60, "Older Adult")</f>
        <v>Middle Age</v>
      </c>
      <c r="O223" s="1" t="s">
        <v>14</v>
      </c>
      <c r="P223" s="1">
        <f>IF(O223="Yes", 1)</f>
        <v>1</v>
      </c>
      <c r="Q223" s="1"/>
    </row>
    <row r="224" spans="1:17" x14ac:dyDescent="0.25">
      <c r="A224">
        <v>16549</v>
      </c>
      <c r="B224" s="1" t="s">
        <v>34</v>
      </c>
      <c r="C224" s="1" t="s">
        <v>33</v>
      </c>
      <c r="D224" s="2">
        <v>30000</v>
      </c>
      <c r="E224" s="2" t="str">
        <f>IF(bike_buyers[[#This Row],[Income]]&lt;40000,"Under 40K", IF(bike_buyers[[#This Row],[Income]]&lt;60000,"40K-59K", IF(bike_buyers[[#This Row],[Income]]&lt;80000,"60K-79K", IF(bike_buyers[[#This Row],[Income]]&lt;100000,"80K-99K","100K+"))))</f>
        <v>Under 40K</v>
      </c>
      <c r="F224">
        <v>3</v>
      </c>
      <c r="G224" s="1" t="s">
        <v>12</v>
      </c>
      <c r="H224" s="1" t="s">
        <v>19</v>
      </c>
      <c r="I224" s="1" t="s">
        <v>14</v>
      </c>
      <c r="J224">
        <v>0</v>
      </c>
      <c r="K224" s="1" t="s">
        <v>15</v>
      </c>
      <c r="L224" s="1" t="s">
        <v>16</v>
      </c>
      <c r="M224">
        <v>47</v>
      </c>
      <c r="N224" s="1" t="str" cm="1">
        <f t="array" ref="N224">_xlfn.IFS(M224&lt;40, " Adult", M224&lt;60, "Middle Age", M224&gt;=60, "Older Adult")</f>
        <v>Middle Age</v>
      </c>
      <c r="O224" s="1" t="s">
        <v>14</v>
      </c>
      <c r="P224" s="1">
        <f>IF(O224="Yes", 1)</f>
        <v>1</v>
      </c>
      <c r="Q224" s="1"/>
    </row>
    <row r="225" spans="1:17" x14ac:dyDescent="0.25">
      <c r="A225">
        <v>20147</v>
      </c>
      <c r="B225" s="1" t="s">
        <v>31</v>
      </c>
      <c r="C225" s="1" t="s">
        <v>33</v>
      </c>
      <c r="D225" s="2">
        <v>30000</v>
      </c>
      <c r="E225" s="2" t="str">
        <f>IF(bike_buyers[[#This Row],[Income]]&lt;40000,"Under 40K", IF(bike_buyers[[#This Row],[Income]]&lt;60000,"40K-59K", IF(bike_buyers[[#This Row],[Income]]&lt;80000,"60K-79K", IF(bike_buyers[[#This Row],[Income]]&lt;100000,"80K-99K","100K+"))))</f>
        <v>Under 40K</v>
      </c>
      <c r="F225">
        <v>1</v>
      </c>
      <c r="G225" s="1" t="s">
        <v>12</v>
      </c>
      <c r="H225" s="1" t="s">
        <v>19</v>
      </c>
      <c r="I225" s="1" t="s">
        <v>14</v>
      </c>
      <c r="J225">
        <v>0</v>
      </c>
      <c r="K225" s="1" t="s">
        <v>15</v>
      </c>
      <c r="L225" s="1" t="s">
        <v>16</v>
      </c>
      <c r="M225">
        <v>65</v>
      </c>
      <c r="N225" s="1" t="str" cm="1">
        <f t="array" ref="N225">_xlfn.IFS(M225&lt;40, " Adult", M225&lt;60, "Middle Age", M225&gt;=60, "Older Adult")</f>
        <v>Older Adult</v>
      </c>
      <c r="O225" s="1" t="s">
        <v>17</v>
      </c>
      <c r="P225" s="1" t="b">
        <f>IF(O225="Yes", 1)</f>
        <v>0</v>
      </c>
      <c r="Q225" s="1"/>
    </row>
    <row r="226" spans="1:17" x14ac:dyDescent="0.25">
      <c r="A226">
        <v>15612</v>
      </c>
      <c r="B226" s="1" t="s">
        <v>34</v>
      </c>
      <c r="C226" s="1" t="s">
        <v>32</v>
      </c>
      <c r="D226" s="2">
        <v>30000</v>
      </c>
      <c r="E226" s="2" t="str">
        <f>IF(bike_buyers[[#This Row],[Income]]&lt;40000,"Under 40K", IF(bike_buyers[[#This Row],[Income]]&lt;60000,"40K-59K", IF(bike_buyers[[#This Row],[Income]]&lt;80000,"60K-79K", IF(bike_buyers[[#This Row],[Income]]&lt;100000,"80K-99K","100K+"))))</f>
        <v>Under 40K</v>
      </c>
      <c r="F226">
        <v>0</v>
      </c>
      <c r="G226" s="1" t="s">
        <v>26</v>
      </c>
      <c r="H226" s="1" t="s">
        <v>24</v>
      </c>
      <c r="I226" s="1" t="s">
        <v>17</v>
      </c>
      <c r="J226">
        <v>1</v>
      </c>
      <c r="K226" s="1" t="s">
        <v>25</v>
      </c>
      <c r="L226" s="1" t="s">
        <v>16</v>
      </c>
      <c r="M226">
        <v>28</v>
      </c>
      <c r="N226" s="1" t="str" cm="1">
        <f t="array" ref="N226">_xlfn.IFS(M226&lt;40, " Adult", M226&lt;60, "Middle Age", M226&gt;=60, "Older Adult")</f>
        <v xml:space="preserve"> Adult</v>
      </c>
      <c r="O226" s="1" t="s">
        <v>17</v>
      </c>
      <c r="P226" s="1" t="b">
        <f>IF(O226="Yes", 1)</f>
        <v>0</v>
      </c>
      <c r="Q226" s="1"/>
    </row>
    <row r="227" spans="1:17" x14ac:dyDescent="0.25">
      <c r="A227">
        <v>15665</v>
      </c>
      <c r="B227" s="1" t="s">
        <v>31</v>
      </c>
      <c r="C227" s="1" t="s">
        <v>33</v>
      </c>
      <c r="D227" s="2">
        <v>30000</v>
      </c>
      <c r="E227" s="2" t="str">
        <f>IF(bike_buyers[[#This Row],[Income]]&lt;40000,"Under 40K", IF(bike_buyers[[#This Row],[Income]]&lt;60000,"40K-59K", IF(bike_buyers[[#This Row],[Income]]&lt;80000,"60K-79K", IF(bike_buyers[[#This Row],[Income]]&lt;100000,"80K-99K","100K+"))))</f>
        <v>Under 40K</v>
      </c>
      <c r="F227">
        <v>0</v>
      </c>
      <c r="G227" s="1" t="s">
        <v>12</v>
      </c>
      <c r="H227" s="1" t="s">
        <v>19</v>
      </c>
      <c r="I227" s="1" t="s">
        <v>14</v>
      </c>
      <c r="J227">
        <v>0</v>
      </c>
      <c r="K227" s="1" t="s">
        <v>15</v>
      </c>
      <c r="L227" s="1" t="s">
        <v>16</v>
      </c>
      <c r="M227">
        <v>47</v>
      </c>
      <c r="N227" s="1" t="str" cm="1">
        <f t="array" ref="N227">_xlfn.IFS(M227&lt;40, " Adult", M227&lt;60, "Middle Age", M227&gt;=60, "Older Adult")</f>
        <v>Middle Age</v>
      </c>
      <c r="O227" s="1" t="s">
        <v>14</v>
      </c>
      <c r="P227" s="1">
        <f>IF(O227="Yes", 1)</f>
        <v>1</v>
      </c>
      <c r="Q227" s="1"/>
    </row>
    <row r="228" spans="1:17" x14ac:dyDescent="0.25">
      <c r="A228">
        <v>19748</v>
      </c>
      <c r="B228" s="1" t="s">
        <v>31</v>
      </c>
      <c r="C228" s="1" t="s">
        <v>32</v>
      </c>
      <c r="D228" s="2">
        <v>20000</v>
      </c>
      <c r="E228" s="2" t="str">
        <f>IF(bike_buyers[[#This Row],[Income]]&lt;40000,"Under 40K", IF(bike_buyers[[#This Row],[Income]]&lt;60000,"40K-59K", IF(bike_buyers[[#This Row],[Income]]&lt;80000,"60K-79K", IF(bike_buyers[[#This Row],[Income]]&lt;100000,"80K-99K","100K+"))))</f>
        <v>Under 40K</v>
      </c>
      <c r="F228">
        <v>4</v>
      </c>
      <c r="G228" s="1" t="s">
        <v>26</v>
      </c>
      <c r="H228" s="1" t="s">
        <v>13</v>
      </c>
      <c r="I228" s="1" t="s">
        <v>17</v>
      </c>
      <c r="J228">
        <v>2</v>
      </c>
      <c r="K228" s="1" t="s">
        <v>25</v>
      </c>
      <c r="L228" s="1" t="s">
        <v>23</v>
      </c>
      <c r="M228">
        <v>60</v>
      </c>
      <c r="N228" s="1" t="str" cm="1">
        <f t="array" ref="N228">_xlfn.IFS(M228&lt;40, " Adult", M228&lt;60, "Middle Age", M228&gt;=60, "Older Adult")</f>
        <v>Older Adult</v>
      </c>
      <c r="O228" s="1" t="s">
        <v>17</v>
      </c>
      <c r="P228" s="1" t="b">
        <f>IF(O228="Yes", 1)</f>
        <v>0</v>
      </c>
      <c r="Q228" s="1"/>
    </row>
    <row r="229" spans="1:17" x14ac:dyDescent="0.25">
      <c r="A229">
        <v>22610</v>
      </c>
      <c r="B229" s="1" t="s">
        <v>31</v>
      </c>
      <c r="C229" s="1" t="s">
        <v>32</v>
      </c>
      <c r="D229" s="2">
        <v>30000</v>
      </c>
      <c r="E229" s="2" t="str">
        <f>IF(bike_buyers[[#This Row],[Income]]&lt;40000,"Under 40K", IF(bike_buyers[[#This Row],[Income]]&lt;60000,"40K-59K", IF(bike_buyers[[#This Row],[Income]]&lt;80000,"60K-79K", IF(bike_buyers[[#This Row],[Income]]&lt;100000,"80K-99K","100K+"))))</f>
        <v>Under 40K</v>
      </c>
      <c r="F229">
        <v>0</v>
      </c>
      <c r="G229" s="1" t="s">
        <v>12</v>
      </c>
      <c r="H229" s="1" t="s">
        <v>19</v>
      </c>
      <c r="I229" s="1" t="s">
        <v>14</v>
      </c>
      <c r="J229">
        <v>0</v>
      </c>
      <c r="K229" s="1" t="s">
        <v>15</v>
      </c>
      <c r="L229" s="1" t="s">
        <v>16</v>
      </c>
      <c r="M229">
        <v>35</v>
      </c>
      <c r="N229" s="1" t="str" cm="1">
        <f t="array" ref="N229">_xlfn.IFS(M229&lt;40, " Adult", M229&lt;60, "Middle Age", M229&gt;=60, "Older Adult")</f>
        <v xml:space="preserve"> Adult</v>
      </c>
      <c r="O229" s="1" t="s">
        <v>14</v>
      </c>
      <c r="P229" s="1">
        <f>IF(O229="Yes", 1)</f>
        <v>1</v>
      </c>
      <c r="Q229" s="1"/>
    </row>
    <row r="230" spans="1:17" x14ac:dyDescent="0.25">
      <c r="A230">
        <v>15450</v>
      </c>
      <c r="B230" s="1" t="s">
        <v>31</v>
      </c>
      <c r="C230" s="1" t="s">
        <v>32</v>
      </c>
      <c r="D230" s="2">
        <v>10000</v>
      </c>
      <c r="E230" s="2" t="str">
        <f>IF(bike_buyers[[#This Row],[Income]]&lt;40000,"Under 40K", IF(bike_buyers[[#This Row],[Income]]&lt;60000,"40K-59K", IF(bike_buyers[[#This Row],[Income]]&lt;80000,"60K-79K", IF(bike_buyers[[#This Row],[Income]]&lt;100000,"80K-99K","100K+"))))</f>
        <v>Under 40K</v>
      </c>
      <c r="F230">
        <v>1</v>
      </c>
      <c r="G230" s="1" t="s">
        <v>29</v>
      </c>
      <c r="H230" s="1" t="s">
        <v>19</v>
      </c>
      <c r="I230" s="1" t="s">
        <v>14</v>
      </c>
      <c r="J230">
        <v>0</v>
      </c>
      <c r="K230" s="1" t="s">
        <v>15</v>
      </c>
      <c r="L230" s="1" t="s">
        <v>16</v>
      </c>
      <c r="M230">
        <v>70</v>
      </c>
      <c r="N230" s="1" t="str" cm="1">
        <f t="array" ref="N230">_xlfn.IFS(M230&lt;40, " Adult", M230&lt;60, "Middle Age", M230&gt;=60, "Older Adult")</f>
        <v>Older Adult</v>
      </c>
      <c r="O230" s="1" t="s">
        <v>17</v>
      </c>
      <c r="P230" s="1" t="b">
        <f>IF(O230="Yes", 1)</f>
        <v>0</v>
      </c>
      <c r="Q230" s="1"/>
    </row>
    <row r="231" spans="1:17" x14ac:dyDescent="0.25">
      <c r="A231">
        <v>25681</v>
      </c>
      <c r="B231" s="1" t="s">
        <v>34</v>
      </c>
      <c r="C231" s="1" t="s">
        <v>33</v>
      </c>
      <c r="D231" s="2">
        <v>30000</v>
      </c>
      <c r="E231" s="2" t="str">
        <f>IF(bike_buyers[[#This Row],[Income]]&lt;40000,"Under 40K", IF(bike_buyers[[#This Row],[Income]]&lt;60000,"40K-59K", IF(bike_buyers[[#This Row],[Income]]&lt;80000,"60K-79K", IF(bike_buyers[[#This Row],[Income]]&lt;100000,"80K-99K","100K+"))))</f>
        <v>Under 40K</v>
      </c>
      <c r="F231">
        <v>0</v>
      </c>
      <c r="G231" s="1" t="s">
        <v>18</v>
      </c>
      <c r="H231" s="1" t="s">
        <v>19</v>
      </c>
      <c r="I231" s="1" t="s">
        <v>17</v>
      </c>
      <c r="J231">
        <v>1</v>
      </c>
      <c r="K231" s="1" t="s">
        <v>21</v>
      </c>
      <c r="L231" s="1" t="s">
        <v>16</v>
      </c>
      <c r="M231">
        <v>31</v>
      </c>
      <c r="N231" s="1" t="str" cm="1">
        <f t="array" ref="N231">_xlfn.IFS(M231&lt;40, " Adult", M231&lt;60, "Middle Age", M231&gt;=60, "Older Adult")</f>
        <v xml:space="preserve"> Adult</v>
      </c>
      <c r="O231" s="1" t="s">
        <v>14</v>
      </c>
      <c r="P231" s="1">
        <f>IF(O231="Yes", 1)</f>
        <v>1</v>
      </c>
      <c r="Q231" s="1"/>
    </row>
    <row r="232" spans="1:17" x14ac:dyDescent="0.25">
      <c r="A232">
        <v>19491</v>
      </c>
      <c r="B232" s="1" t="s">
        <v>34</v>
      </c>
      <c r="C232" s="1" t="s">
        <v>32</v>
      </c>
      <c r="D232" s="2">
        <v>30000</v>
      </c>
      <c r="E232" s="2" t="str">
        <f>IF(bike_buyers[[#This Row],[Income]]&lt;40000,"Under 40K", IF(bike_buyers[[#This Row],[Income]]&lt;60000,"40K-59K", IF(bike_buyers[[#This Row],[Income]]&lt;80000,"60K-79K", IF(bike_buyers[[#This Row],[Income]]&lt;100000,"80K-99K","100K+"))))</f>
        <v>Under 40K</v>
      </c>
      <c r="F232">
        <v>2</v>
      </c>
      <c r="G232" s="1" t="s">
        <v>18</v>
      </c>
      <c r="H232" s="1" t="s">
        <v>19</v>
      </c>
      <c r="I232" s="1" t="s">
        <v>14</v>
      </c>
      <c r="J232">
        <v>2</v>
      </c>
      <c r="K232" s="1" t="s">
        <v>15</v>
      </c>
      <c r="L232" s="1" t="s">
        <v>16</v>
      </c>
      <c r="M232">
        <v>42</v>
      </c>
      <c r="N232" s="1" t="str" cm="1">
        <f t="array" ref="N232">_xlfn.IFS(M232&lt;40, " Adult", M232&lt;60, "Middle Age", M232&gt;=60, "Older Adult")</f>
        <v>Middle Age</v>
      </c>
      <c r="O232" s="1" t="s">
        <v>17</v>
      </c>
      <c r="P232" s="1" t="b">
        <f>IF(O232="Yes", 1)</f>
        <v>0</v>
      </c>
      <c r="Q232" s="1"/>
    </row>
    <row r="233" spans="1:17" x14ac:dyDescent="0.25">
      <c r="A233">
        <v>15629</v>
      </c>
      <c r="B233" s="1" t="s">
        <v>34</v>
      </c>
      <c r="C233" s="1" t="s">
        <v>33</v>
      </c>
      <c r="D233" s="2">
        <v>10000</v>
      </c>
      <c r="E233" s="2" t="str">
        <f>IF(bike_buyers[[#This Row],[Income]]&lt;40000,"Under 40K", IF(bike_buyers[[#This Row],[Income]]&lt;60000,"40K-59K", IF(bike_buyers[[#This Row],[Income]]&lt;80000,"60K-79K", IF(bike_buyers[[#This Row],[Income]]&lt;100000,"80K-99K","100K+"))))</f>
        <v>Under 40K</v>
      </c>
      <c r="F233">
        <v>0</v>
      </c>
      <c r="G233" s="1" t="s">
        <v>28</v>
      </c>
      <c r="H233" s="1" t="s">
        <v>24</v>
      </c>
      <c r="I233" s="1" t="s">
        <v>14</v>
      </c>
      <c r="J233">
        <v>2</v>
      </c>
      <c r="K233" s="1" t="s">
        <v>25</v>
      </c>
      <c r="L233" s="1" t="s">
        <v>16</v>
      </c>
      <c r="M233">
        <v>34</v>
      </c>
      <c r="N233" s="1" t="str" cm="1">
        <f t="array" ref="N233">_xlfn.IFS(M233&lt;40, " Adult", M233&lt;60, "Middle Age", M233&gt;=60, "Older Adult")</f>
        <v xml:space="preserve"> Adult</v>
      </c>
      <c r="O233" s="1" t="s">
        <v>17</v>
      </c>
      <c r="P233" s="1" t="b">
        <f>IF(O233="Yes", 1)</f>
        <v>0</v>
      </c>
      <c r="Q233" s="1"/>
    </row>
    <row r="234" spans="1:17" x14ac:dyDescent="0.25">
      <c r="A234">
        <v>27835</v>
      </c>
      <c r="B234" s="1" t="s">
        <v>31</v>
      </c>
      <c r="C234" s="1" t="s">
        <v>32</v>
      </c>
      <c r="D234" s="2">
        <v>20000</v>
      </c>
      <c r="E234" s="2" t="str">
        <f>IF(bike_buyers[[#This Row],[Income]]&lt;40000,"Under 40K", IF(bike_buyers[[#This Row],[Income]]&lt;60000,"40K-59K", IF(bike_buyers[[#This Row],[Income]]&lt;80000,"60K-79K", IF(bike_buyers[[#This Row],[Income]]&lt;100000,"80K-99K","100K+"))))</f>
        <v>Under 40K</v>
      </c>
      <c r="F234">
        <v>0</v>
      </c>
      <c r="G234" s="1" t="s">
        <v>28</v>
      </c>
      <c r="H234" s="1" t="s">
        <v>24</v>
      </c>
      <c r="I234" s="1" t="s">
        <v>14</v>
      </c>
      <c r="J234">
        <v>2</v>
      </c>
      <c r="K234" s="1" t="s">
        <v>15</v>
      </c>
      <c r="L234" s="1" t="s">
        <v>16</v>
      </c>
      <c r="M234">
        <v>32</v>
      </c>
      <c r="N234" s="1" t="str" cm="1">
        <f t="array" ref="N234">_xlfn.IFS(M234&lt;40, " Adult", M234&lt;60, "Middle Age", M234&gt;=60, "Older Adult")</f>
        <v xml:space="preserve"> Adult</v>
      </c>
      <c r="O234" s="1" t="s">
        <v>17</v>
      </c>
      <c r="P234" s="1" t="b">
        <f>IF(O234="Yes", 1)</f>
        <v>0</v>
      </c>
      <c r="Q234" s="1"/>
    </row>
    <row r="235" spans="1:17" x14ac:dyDescent="0.25">
      <c r="A235">
        <v>11935</v>
      </c>
      <c r="B235" s="1" t="s">
        <v>34</v>
      </c>
      <c r="C235" s="1" t="s">
        <v>33</v>
      </c>
      <c r="D235" s="2">
        <v>30000</v>
      </c>
      <c r="E235" s="2" t="str">
        <f>IF(bike_buyers[[#This Row],[Income]]&lt;40000,"Under 40K", IF(bike_buyers[[#This Row],[Income]]&lt;60000,"40K-59K", IF(bike_buyers[[#This Row],[Income]]&lt;80000,"60K-79K", IF(bike_buyers[[#This Row],[Income]]&lt;100000,"80K-99K","100K+"))))</f>
        <v>Under 40K</v>
      </c>
      <c r="F235">
        <v>0</v>
      </c>
      <c r="G235" s="1" t="s">
        <v>18</v>
      </c>
      <c r="H235" s="1" t="s">
        <v>13</v>
      </c>
      <c r="I235" s="1" t="s">
        <v>14</v>
      </c>
      <c r="J235">
        <v>1</v>
      </c>
      <c r="K235" s="1" t="s">
        <v>22</v>
      </c>
      <c r="L235" s="1" t="s">
        <v>30</v>
      </c>
      <c r="M235">
        <v>28</v>
      </c>
      <c r="N235" s="1" t="str" cm="1">
        <f t="array" ref="N235">_xlfn.IFS(M235&lt;40, " Adult", M235&lt;60, "Middle Age", M235&gt;=60, "Older Adult")</f>
        <v xml:space="preserve"> Adult</v>
      </c>
      <c r="O235" s="1" t="s">
        <v>17</v>
      </c>
      <c r="P235" s="1" t="b">
        <f>IF(O235="Yes", 1)</f>
        <v>0</v>
      </c>
      <c r="Q235" s="1"/>
    </row>
    <row r="236" spans="1:17" x14ac:dyDescent="0.25">
      <c r="A236">
        <v>14092</v>
      </c>
      <c r="B236" s="1" t="s">
        <v>34</v>
      </c>
      <c r="C236" s="1" t="s">
        <v>32</v>
      </c>
      <c r="D236" s="2">
        <v>30000</v>
      </c>
      <c r="E236" s="2" t="str">
        <f>IF(bike_buyers[[#This Row],[Income]]&lt;40000,"Under 40K", IF(bike_buyers[[#This Row],[Income]]&lt;60000,"40K-59K", IF(bike_buyers[[#This Row],[Income]]&lt;80000,"60K-79K", IF(bike_buyers[[#This Row],[Income]]&lt;100000,"80K-99K","100K+"))))</f>
        <v>Under 40K</v>
      </c>
      <c r="F236">
        <v>0</v>
      </c>
      <c r="G236" s="1" t="s">
        <v>28</v>
      </c>
      <c r="H236" s="1" t="s">
        <v>19</v>
      </c>
      <c r="I236" s="1" t="s">
        <v>14</v>
      </c>
      <c r="J236">
        <v>2</v>
      </c>
      <c r="K236" s="1" t="s">
        <v>22</v>
      </c>
      <c r="L236" s="1" t="s">
        <v>30</v>
      </c>
      <c r="M236">
        <v>28</v>
      </c>
      <c r="N236" s="1" t="str" cm="1">
        <f t="array" ref="N236">_xlfn.IFS(M236&lt;40, " Adult", M236&lt;60, "Middle Age", M236&gt;=60, "Older Adult")</f>
        <v xml:space="preserve"> Adult</v>
      </c>
      <c r="O236" s="1" t="s">
        <v>17</v>
      </c>
      <c r="P236" s="1" t="b">
        <f>IF(O236="Yes", 1)</f>
        <v>0</v>
      </c>
      <c r="Q236" s="1"/>
    </row>
    <row r="237" spans="1:17" x14ac:dyDescent="0.25">
      <c r="A237">
        <v>27218</v>
      </c>
      <c r="B237" s="1" t="s">
        <v>31</v>
      </c>
      <c r="C237" s="1" t="s">
        <v>33</v>
      </c>
      <c r="D237" s="2">
        <v>20000</v>
      </c>
      <c r="E237" s="2" t="str">
        <f>IF(bike_buyers[[#This Row],[Income]]&lt;40000,"Under 40K", IF(bike_buyers[[#This Row],[Income]]&lt;60000,"40K-59K", IF(bike_buyers[[#This Row],[Income]]&lt;80000,"60K-79K", IF(bike_buyers[[#This Row],[Income]]&lt;100000,"80K-99K","100K+"))))</f>
        <v>Under 40K</v>
      </c>
      <c r="F237">
        <v>2</v>
      </c>
      <c r="G237" s="1" t="s">
        <v>28</v>
      </c>
      <c r="H237" s="1" t="s">
        <v>19</v>
      </c>
      <c r="I237" s="1" t="s">
        <v>17</v>
      </c>
      <c r="J237">
        <v>0</v>
      </c>
      <c r="K237" s="1" t="s">
        <v>15</v>
      </c>
      <c r="L237" s="1" t="s">
        <v>30</v>
      </c>
      <c r="M237">
        <v>48</v>
      </c>
      <c r="N237" s="1" t="str" cm="1">
        <f t="array" ref="N237">_xlfn.IFS(M237&lt;40, " Adult", M237&lt;60, "Middle Age", M237&gt;=60, "Older Adult")</f>
        <v>Middle Age</v>
      </c>
      <c r="O237" s="1" t="s">
        <v>17</v>
      </c>
      <c r="P237" s="1" t="b">
        <f>IF(O237="Yes", 1)</f>
        <v>0</v>
      </c>
      <c r="Q237" s="1"/>
    </row>
    <row r="238" spans="1:17" x14ac:dyDescent="0.25">
      <c r="A238">
        <v>25006</v>
      </c>
      <c r="B238" s="1" t="s">
        <v>34</v>
      </c>
      <c r="C238" s="1" t="s">
        <v>33</v>
      </c>
      <c r="D238" s="2">
        <v>30000</v>
      </c>
      <c r="E238" s="2" t="str">
        <f>IF(bike_buyers[[#This Row],[Income]]&lt;40000,"Under 40K", IF(bike_buyers[[#This Row],[Income]]&lt;60000,"40K-59K", IF(bike_buyers[[#This Row],[Income]]&lt;80000,"60K-79K", IF(bike_buyers[[#This Row],[Income]]&lt;100000,"80K-99K","100K+"))))</f>
        <v>Under 40K</v>
      </c>
      <c r="F238">
        <v>0</v>
      </c>
      <c r="G238" s="1" t="s">
        <v>18</v>
      </c>
      <c r="H238" s="1" t="s">
        <v>13</v>
      </c>
      <c r="I238" s="1" t="s">
        <v>14</v>
      </c>
      <c r="J238">
        <v>1</v>
      </c>
      <c r="K238" s="1" t="s">
        <v>22</v>
      </c>
      <c r="L238" s="1" t="s">
        <v>30</v>
      </c>
      <c r="M238">
        <v>28</v>
      </c>
      <c r="N238" s="1" t="str" cm="1">
        <f t="array" ref="N238">_xlfn.IFS(M238&lt;40, " Adult", M238&lt;60, "Middle Age", M238&gt;=60, "Older Adult")</f>
        <v xml:space="preserve"> Adult</v>
      </c>
      <c r="O238" s="1" t="s">
        <v>17</v>
      </c>
      <c r="P238" s="1" t="b">
        <f>IF(O238="Yes", 1)</f>
        <v>0</v>
      </c>
      <c r="Q238" s="1"/>
    </row>
    <row r="239" spans="1:17" x14ac:dyDescent="0.25">
      <c r="A239">
        <v>17369</v>
      </c>
      <c r="B239" s="1" t="s">
        <v>34</v>
      </c>
      <c r="C239" s="1" t="s">
        <v>32</v>
      </c>
      <c r="D239" s="2">
        <v>30000</v>
      </c>
      <c r="E239" s="2" t="str">
        <f>IF(bike_buyers[[#This Row],[Income]]&lt;40000,"Under 40K", IF(bike_buyers[[#This Row],[Income]]&lt;60000,"40K-59K", IF(bike_buyers[[#This Row],[Income]]&lt;80000,"60K-79K", IF(bike_buyers[[#This Row],[Income]]&lt;100000,"80K-99K","100K+"))))</f>
        <v>Under 40K</v>
      </c>
      <c r="F239">
        <v>0</v>
      </c>
      <c r="G239" s="1" t="s">
        <v>18</v>
      </c>
      <c r="H239" s="1" t="s">
        <v>13</v>
      </c>
      <c r="I239" s="1" t="s">
        <v>14</v>
      </c>
      <c r="J239">
        <v>1</v>
      </c>
      <c r="K239" s="1" t="s">
        <v>22</v>
      </c>
      <c r="L239" s="1" t="s">
        <v>30</v>
      </c>
      <c r="M239">
        <v>27</v>
      </c>
      <c r="N239" s="1" t="str" cm="1">
        <f t="array" ref="N239">_xlfn.IFS(M239&lt;40, " Adult", M239&lt;60, "Middle Age", M239&gt;=60, "Older Adult")</f>
        <v xml:space="preserve"> Adult</v>
      </c>
      <c r="O239" s="1" t="s">
        <v>17</v>
      </c>
      <c r="P239" s="1" t="b">
        <f>IF(O239="Yes", 1)</f>
        <v>0</v>
      </c>
      <c r="Q239" s="1"/>
    </row>
    <row r="240" spans="1:17" x14ac:dyDescent="0.25">
      <c r="A240">
        <v>23549</v>
      </c>
      <c r="B240" s="1" t="s">
        <v>34</v>
      </c>
      <c r="C240" s="1" t="s">
        <v>32</v>
      </c>
      <c r="D240" s="2">
        <v>30000</v>
      </c>
      <c r="E240" s="2" t="str">
        <f>IF(bike_buyers[[#This Row],[Income]]&lt;40000,"Under 40K", IF(bike_buyers[[#This Row],[Income]]&lt;60000,"40K-59K", IF(bike_buyers[[#This Row],[Income]]&lt;80000,"60K-79K", IF(bike_buyers[[#This Row],[Income]]&lt;100000,"80K-99K","100K+"))))</f>
        <v>Under 40K</v>
      </c>
      <c r="F240">
        <v>0</v>
      </c>
      <c r="G240" s="1" t="s">
        <v>26</v>
      </c>
      <c r="H240" s="1" t="s">
        <v>13</v>
      </c>
      <c r="I240" s="1" t="s">
        <v>14</v>
      </c>
      <c r="J240">
        <v>2</v>
      </c>
      <c r="K240" s="1" t="s">
        <v>22</v>
      </c>
      <c r="L240" s="1" t="s">
        <v>30</v>
      </c>
      <c r="M240">
        <v>30</v>
      </c>
      <c r="N240" s="1" t="str" cm="1">
        <f t="array" ref="N240">_xlfn.IFS(M240&lt;40, " Adult", M240&lt;60, "Middle Age", M240&gt;=60, "Older Adult")</f>
        <v xml:space="preserve"> Adult</v>
      </c>
      <c r="O240" s="1" t="s">
        <v>17</v>
      </c>
      <c r="P240" s="1" t="b">
        <f>IF(O240="Yes", 1)</f>
        <v>0</v>
      </c>
      <c r="Q240" s="1"/>
    </row>
    <row r="241" spans="1:17" x14ac:dyDescent="0.25">
      <c r="A241">
        <v>18058</v>
      </c>
      <c r="B241" s="1" t="s">
        <v>34</v>
      </c>
      <c r="C241" s="1" t="s">
        <v>33</v>
      </c>
      <c r="D241" s="2">
        <v>20000</v>
      </c>
      <c r="E241" s="2" t="str">
        <f>IF(bike_buyers[[#This Row],[Income]]&lt;40000,"Under 40K", IF(bike_buyers[[#This Row],[Income]]&lt;60000,"40K-59K", IF(bike_buyers[[#This Row],[Income]]&lt;80000,"60K-79K", IF(bike_buyers[[#This Row],[Income]]&lt;100000,"80K-99K","100K+"))))</f>
        <v>Under 40K</v>
      </c>
      <c r="F241">
        <v>3</v>
      </c>
      <c r="G241" s="1" t="s">
        <v>26</v>
      </c>
      <c r="H241" s="1" t="s">
        <v>13</v>
      </c>
      <c r="I241" s="1" t="s">
        <v>14</v>
      </c>
      <c r="J241">
        <v>2</v>
      </c>
      <c r="K241" s="1" t="s">
        <v>21</v>
      </c>
      <c r="L241" s="1" t="s">
        <v>30</v>
      </c>
      <c r="M241">
        <v>78</v>
      </c>
      <c r="N241" s="1" t="str" cm="1">
        <f t="array" ref="N241">_xlfn.IFS(M241&lt;40, " Adult", M241&lt;60, "Middle Age", M241&gt;=60, "Older Adult")</f>
        <v>Older Adult</v>
      </c>
      <c r="O241" s="1" t="s">
        <v>17</v>
      </c>
      <c r="P241" s="1" t="b">
        <f>IF(O241="Yes", 1)</f>
        <v>0</v>
      </c>
      <c r="Q241" s="1"/>
    </row>
    <row r="242" spans="1:17" x14ac:dyDescent="0.25">
      <c r="A242">
        <v>28609</v>
      </c>
      <c r="B242" s="1" t="s">
        <v>31</v>
      </c>
      <c r="C242" s="1" t="s">
        <v>32</v>
      </c>
      <c r="D242" s="2">
        <v>30000</v>
      </c>
      <c r="E242" s="2" t="str">
        <f>IF(bike_buyers[[#This Row],[Income]]&lt;40000,"Under 40K", IF(bike_buyers[[#This Row],[Income]]&lt;60000,"40K-59K", IF(bike_buyers[[#This Row],[Income]]&lt;80000,"60K-79K", IF(bike_buyers[[#This Row],[Income]]&lt;100000,"80K-99K","100K+"))))</f>
        <v>Under 40K</v>
      </c>
      <c r="F242">
        <v>2</v>
      </c>
      <c r="G242" s="1" t="s">
        <v>26</v>
      </c>
      <c r="H242" s="1" t="s">
        <v>13</v>
      </c>
      <c r="I242" s="1" t="s">
        <v>17</v>
      </c>
      <c r="J242">
        <v>2</v>
      </c>
      <c r="K242" s="1" t="s">
        <v>15</v>
      </c>
      <c r="L242" s="1" t="s">
        <v>30</v>
      </c>
      <c r="M242">
        <v>49</v>
      </c>
      <c r="N242" s="1" t="str" cm="1">
        <f t="array" ref="N242">_xlfn.IFS(M242&lt;40, " Adult", M242&lt;60, "Middle Age", M242&gt;=60, "Older Adult")</f>
        <v>Middle Age</v>
      </c>
      <c r="O242" s="1" t="s">
        <v>17</v>
      </c>
      <c r="P242" s="1" t="b">
        <f>IF(O242="Yes", 1)</f>
        <v>0</v>
      </c>
      <c r="Q242" s="1"/>
    </row>
    <row r="243" spans="1:17" x14ac:dyDescent="0.25">
      <c r="A243">
        <v>22983</v>
      </c>
      <c r="B243" s="1" t="s">
        <v>34</v>
      </c>
      <c r="C243" s="1" t="s">
        <v>33</v>
      </c>
      <c r="D243" s="2">
        <v>30000</v>
      </c>
      <c r="E243" s="2" t="str">
        <f>IF(bike_buyers[[#This Row],[Income]]&lt;40000,"Under 40K", IF(bike_buyers[[#This Row],[Income]]&lt;60000,"40K-59K", IF(bike_buyers[[#This Row],[Income]]&lt;80000,"60K-79K", IF(bike_buyers[[#This Row],[Income]]&lt;100000,"80K-99K","100K+"))))</f>
        <v>Under 40K</v>
      </c>
      <c r="F243">
        <v>0</v>
      </c>
      <c r="G243" s="1" t="s">
        <v>28</v>
      </c>
      <c r="H243" s="1" t="s">
        <v>19</v>
      </c>
      <c r="I243" s="1" t="s">
        <v>14</v>
      </c>
      <c r="J243">
        <v>2</v>
      </c>
      <c r="K243" s="1" t="s">
        <v>22</v>
      </c>
      <c r="L243" s="1" t="s">
        <v>30</v>
      </c>
      <c r="M243">
        <v>27</v>
      </c>
      <c r="N243" s="1" t="str" cm="1">
        <f t="array" ref="N243">_xlfn.IFS(M243&lt;40, " Adult", M243&lt;60, "Middle Age", M243&gt;=60, "Older Adult")</f>
        <v xml:space="preserve"> Adult</v>
      </c>
      <c r="O243" s="1" t="s">
        <v>17</v>
      </c>
      <c r="P243" s="1" t="b">
        <f>IF(O243="Yes", 1)</f>
        <v>0</v>
      </c>
      <c r="Q243" s="1"/>
    </row>
    <row r="244" spans="1:17" x14ac:dyDescent="0.25">
      <c r="A244">
        <v>25347</v>
      </c>
      <c r="B244" s="1" t="s">
        <v>34</v>
      </c>
      <c r="C244" s="1" t="s">
        <v>33</v>
      </c>
      <c r="D244" s="2">
        <v>20000</v>
      </c>
      <c r="E244" s="2" t="str">
        <f>IF(bike_buyers[[#This Row],[Income]]&lt;40000,"Under 40K", IF(bike_buyers[[#This Row],[Income]]&lt;60000,"40K-59K", IF(bike_buyers[[#This Row],[Income]]&lt;80000,"60K-79K", IF(bike_buyers[[#This Row],[Income]]&lt;100000,"80K-99K","100K+"))))</f>
        <v>Under 40K</v>
      </c>
      <c r="F244">
        <v>3</v>
      </c>
      <c r="G244" s="1" t="s">
        <v>28</v>
      </c>
      <c r="H244" s="1" t="s">
        <v>19</v>
      </c>
      <c r="I244" s="1" t="s">
        <v>17</v>
      </c>
      <c r="J244">
        <v>2</v>
      </c>
      <c r="K244" s="1" t="s">
        <v>15</v>
      </c>
      <c r="L244" s="1" t="s">
        <v>30</v>
      </c>
      <c r="M244">
        <v>49</v>
      </c>
      <c r="N244" s="1" t="str" cm="1">
        <f t="array" ref="N244">_xlfn.IFS(M244&lt;40, " Adult", M244&lt;60, "Middle Age", M244&gt;=60, "Older Adult")</f>
        <v>Middle Age</v>
      </c>
      <c r="O244" s="1" t="s">
        <v>17</v>
      </c>
      <c r="P244" s="1" t="b">
        <f>IF(O244="Yes", 1)</f>
        <v>0</v>
      </c>
      <c r="Q244" s="1"/>
    </row>
    <row r="245" spans="1:17" x14ac:dyDescent="0.25">
      <c r="A245">
        <v>24745</v>
      </c>
      <c r="B245" s="1" t="s">
        <v>34</v>
      </c>
      <c r="C245" s="1" t="s">
        <v>33</v>
      </c>
      <c r="D245" s="2">
        <v>30000</v>
      </c>
      <c r="E245" s="2" t="str">
        <f>IF(bike_buyers[[#This Row],[Income]]&lt;40000,"Under 40K", IF(bike_buyers[[#This Row],[Income]]&lt;60000,"40K-59K", IF(bike_buyers[[#This Row],[Income]]&lt;80000,"60K-79K", IF(bike_buyers[[#This Row],[Income]]&lt;100000,"80K-99K","100K+"))))</f>
        <v>Under 40K</v>
      </c>
      <c r="F245">
        <v>2</v>
      </c>
      <c r="G245" s="1" t="s">
        <v>26</v>
      </c>
      <c r="H245" s="1" t="s">
        <v>13</v>
      </c>
      <c r="I245" s="1" t="s">
        <v>17</v>
      </c>
      <c r="J245">
        <v>2</v>
      </c>
      <c r="K245" s="1" t="s">
        <v>15</v>
      </c>
      <c r="L245" s="1" t="s">
        <v>30</v>
      </c>
      <c r="M245">
        <v>49</v>
      </c>
      <c r="N245" s="1" t="str" cm="1">
        <f t="array" ref="N245">_xlfn.IFS(M245&lt;40, " Adult", M245&lt;60, "Middle Age", M245&gt;=60, "Older Adult")</f>
        <v>Middle Age</v>
      </c>
      <c r="O245" s="1" t="s">
        <v>17</v>
      </c>
      <c r="P245" s="1" t="b">
        <f>IF(O245="Yes", 1)</f>
        <v>0</v>
      </c>
      <c r="Q245" s="1"/>
    </row>
    <row r="246" spans="1:17" x14ac:dyDescent="0.25">
      <c r="A246">
        <v>13066</v>
      </c>
      <c r="B246" s="1" t="s">
        <v>34</v>
      </c>
      <c r="C246" s="1" t="s">
        <v>32</v>
      </c>
      <c r="D246" s="2">
        <v>30000</v>
      </c>
      <c r="E246" s="2" t="str">
        <f>IF(bike_buyers[[#This Row],[Income]]&lt;40000,"Under 40K", IF(bike_buyers[[#This Row],[Income]]&lt;60000,"40K-59K", IF(bike_buyers[[#This Row],[Income]]&lt;80000,"60K-79K", IF(bike_buyers[[#This Row],[Income]]&lt;100000,"80K-99K","100K+"))))</f>
        <v>Under 40K</v>
      </c>
      <c r="F246">
        <v>0</v>
      </c>
      <c r="G246" s="1" t="s">
        <v>26</v>
      </c>
      <c r="H246" s="1" t="s">
        <v>13</v>
      </c>
      <c r="I246" s="1" t="s">
        <v>17</v>
      </c>
      <c r="J246">
        <v>2</v>
      </c>
      <c r="K246" s="1" t="s">
        <v>25</v>
      </c>
      <c r="L246" s="1" t="s">
        <v>30</v>
      </c>
      <c r="M246">
        <v>31</v>
      </c>
      <c r="N246" s="1" t="str" cm="1">
        <f t="array" ref="N246">_xlfn.IFS(M246&lt;40, " Adult", M246&lt;60, "Middle Age", M246&gt;=60, "Older Adult")</f>
        <v xml:space="preserve"> Adult</v>
      </c>
      <c r="O246" s="1" t="s">
        <v>14</v>
      </c>
      <c r="P246" s="1">
        <f>IF(O246="Yes", 1)</f>
        <v>1</v>
      </c>
      <c r="Q246" s="1"/>
    </row>
    <row r="247" spans="1:17" x14ac:dyDescent="0.25">
      <c r="A247">
        <v>19223</v>
      </c>
      <c r="B247" s="1" t="s">
        <v>31</v>
      </c>
      <c r="C247" s="1" t="s">
        <v>33</v>
      </c>
      <c r="D247" s="2">
        <v>30000</v>
      </c>
      <c r="E247" s="2" t="str">
        <f>IF(bike_buyers[[#This Row],[Income]]&lt;40000,"Under 40K", IF(bike_buyers[[#This Row],[Income]]&lt;60000,"40K-59K", IF(bike_buyers[[#This Row],[Income]]&lt;80000,"60K-79K", IF(bike_buyers[[#This Row],[Income]]&lt;100000,"80K-99K","100K+"))))</f>
        <v>Under 40K</v>
      </c>
      <c r="F247">
        <v>2</v>
      </c>
      <c r="G247" s="1" t="s">
        <v>26</v>
      </c>
      <c r="H247" s="1" t="s">
        <v>13</v>
      </c>
      <c r="I247" s="1" t="s">
        <v>14</v>
      </c>
      <c r="J247">
        <v>2</v>
      </c>
      <c r="K247" s="1" t="s">
        <v>25</v>
      </c>
      <c r="L247" s="1" t="s">
        <v>30</v>
      </c>
      <c r="M247">
        <v>48</v>
      </c>
      <c r="N247" s="1" t="str" cm="1">
        <f t="array" ref="N247">_xlfn.IFS(M247&lt;40, " Adult", M247&lt;60, "Middle Age", M247&gt;=60, "Older Adult")</f>
        <v>Middle Age</v>
      </c>
      <c r="O247" s="1" t="s">
        <v>17</v>
      </c>
      <c r="P247" s="1" t="b">
        <f>IF(O247="Yes", 1)</f>
        <v>0</v>
      </c>
      <c r="Q247" s="1"/>
    </row>
    <row r="248" spans="1:17" x14ac:dyDescent="0.25">
      <c r="A248">
        <v>26248</v>
      </c>
      <c r="B248" s="1" t="s">
        <v>31</v>
      </c>
      <c r="C248" s="1" t="s">
        <v>32</v>
      </c>
      <c r="D248" s="2">
        <v>20000</v>
      </c>
      <c r="E248" s="2" t="str">
        <f>IF(bike_buyers[[#This Row],[Income]]&lt;40000,"Under 40K", IF(bike_buyers[[#This Row],[Income]]&lt;60000,"40K-59K", IF(bike_buyers[[#This Row],[Income]]&lt;80000,"60K-79K", IF(bike_buyers[[#This Row],[Income]]&lt;100000,"80K-99K","100K+"))))</f>
        <v>Under 40K</v>
      </c>
      <c r="F248">
        <v>3</v>
      </c>
      <c r="G248" s="1" t="s">
        <v>28</v>
      </c>
      <c r="H248" s="1" t="s">
        <v>19</v>
      </c>
      <c r="I248" s="1" t="s">
        <v>17</v>
      </c>
      <c r="J248">
        <v>2</v>
      </c>
      <c r="K248" s="1" t="s">
        <v>15</v>
      </c>
      <c r="L248" s="1" t="s">
        <v>30</v>
      </c>
      <c r="M248">
        <v>52</v>
      </c>
      <c r="N248" s="1" t="str" cm="1">
        <f t="array" ref="N248">_xlfn.IFS(M248&lt;40, " Adult", M248&lt;60, "Middle Age", M248&gt;=60, "Older Adult")</f>
        <v>Middle Age</v>
      </c>
      <c r="O248" s="1" t="s">
        <v>17</v>
      </c>
      <c r="P248" s="1" t="b">
        <f>IF(O248="Yes", 1)</f>
        <v>0</v>
      </c>
      <c r="Q248" s="1"/>
    </row>
    <row r="249" spans="1:17" x14ac:dyDescent="0.25">
      <c r="A249">
        <v>18910</v>
      </c>
      <c r="B249" s="1" t="s">
        <v>34</v>
      </c>
      <c r="C249" s="1" t="s">
        <v>32</v>
      </c>
      <c r="D249" s="2">
        <v>30000</v>
      </c>
      <c r="E249" s="2" t="str">
        <f>IF(bike_buyers[[#This Row],[Income]]&lt;40000,"Under 40K", IF(bike_buyers[[#This Row],[Income]]&lt;60000,"40K-59K", IF(bike_buyers[[#This Row],[Income]]&lt;80000,"60K-79K", IF(bike_buyers[[#This Row],[Income]]&lt;100000,"80K-99K","100K+"))))</f>
        <v>Under 40K</v>
      </c>
      <c r="F249">
        <v>0</v>
      </c>
      <c r="G249" s="1" t="s">
        <v>18</v>
      </c>
      <c r="H249" s="1" t="s">
        <v>13</v>
      </c>
      <c r="I249" s="1" t="s">
        <v>14</v>
      </c>
      <c r="J249">
        <v>2</v>
      </c>
      <c r="K249" s="1" t="s">
        <v>22</v>
      </c>
      <c r="L249" s="1" t="s">
        <v>30</v>
      </c>
      <c r="M249">
        <v>30</v>
      </c>
      <c r="N249" s="1" t="str" cm="1">
        <f t="array" ref="N249">_xlfn.IFS(M249&lt;40, " Adult", M249&lt;60, "Middle Age", M249&gt;=60, "Older Adult")</f>
        <v xml:space="preserve"> Adult</v>
      </c>
      <c r="O249" s="1" t="s">
        <v>17</v>
      </c>
      <c r="P249" s="1" t="b">
        <f>IF(O249="Yes", 1)</f>
        <v>0</v>
      </c>
      <c r="Q249" s="1"/>
    </row>
    <row r="250" spans="1:17" x14ac:dyDescent="0.25">
      <c r="A250">
        <v>16725</v>
      </c>
      <c r="B250" s="1" t="s">
        <v>31</v>
      </c>
      <c r="C250" s="1" t="s">
        <v>32</v>
      </c>
      <c r="D250" s="2">
        <v>30000</v>
      </c>
      <c r="E250" s="2" t="str">
        <f>IF(bike_buyers[[#This Row],[Income]]&lt;40000,"Under 40K", IF(bike_buyers[[#This Row],[Income]]&lt;60000,"40K-59K", IF(bike_buyers[[#This Row],[Income]]&lt;80000,"60K-79K", IF(bike_buyers[[#This Row],[Income]]&lt;100000,"80K-99K","100K+"))))</f>
        <v>Under 40K</v>
      </c>
      <c r="F250">
        <v>0</v>
      </c>
      <c r="G250" s="1" t="s">
        <v>26</v>
      </c>
      <c r="H250" s="1" t="s">
        <v>13</v>
      </c>
      <c r="I250" s="1" t="s">
        <v>14</v>
      </c>
      <c r="J250">
        <v>2</v>
      </c>
      <c r="K250" s="1" t="s">
        <v>22</v>
      </c>
      <c r="L250" s="1" t="s">
        <v>30</v>
      </c>
      <c r="M250">
        <v>26</v>
      </c>
      <c r="N250" s="1" t="str" cm="1">
        <f t="array" ref="N250">_xlfn.IFS(M250&lt;40, " Adult", M250&lt;60, "Middle Age", M250&gt;=60, "Older Adult")</f>
        <v xml:space="preserve"> Adult</v>
      </c>
      <c r="O250" s="1" t="s">
        <v>17</v>
      </c>
      <c r="P250" s="1" t="b">
        <f>IF(O250="Yes", 1)</f>
        <v>0</v>
      </c>
      <c r="Q250" s="1"/>
    </row>
    <row r="251" spans="1:17" x14ac:dyDescent="0.25">
      <c r="A251">
        <v>14090</v>
      </c>
      <c r="B251" s="1" t="s">
        <v>31</v>
      </c>
      <c r="C251" s="1" t="s">
        <v>33</v>
      </c>
      <c r="D251" s="2">
        <v>30000</v>
      </c>
      <c r="E251" s="2" t="str">
        <f>IF(bike_buyers[[#This Row],[Income]]&lt;40000,"Under 40K", IF(bike_buyers[[#This Row],[Income]]&lt;60000,"40K-59K", IF(bike_buyers[[#This Row],[Income]]&lt;80000,"60K-79K", IF(bike_buyers[[#This Row],[Income]]&lt;100000,"80K-99K","100K+"))))</f>
        <v>Under 40K</v>
      </c>
      <c r="F251">
        <v>0</v>
      </c>
      <c r="G251" s="1" t="s">
        <v>28</v>
      </c>
      <c r="H251" s="1" t="s">
        <v>19</v>
      </c>
      <c r="I251" s="1" t="s">
        <v>17</v>
      </c>
      <c r="J251">
        <v>2</v>
      </c>
      <c r="K251" s="1" t="s">
        <v>15</v>
      </c>
      <c r="L251" s="1" t="s">
        <v>30</v>
      </c>
      <c r="M251">
        <v>28</v>
      </c>
      <c r="N251" s="1" t="str" cm="1">
        <f t="array" ref="N251">_xlfn.IFS(M251&lt;40, " Adult", M251&lt;60, "Middle Age", M251&gt;=60, "Older Adult")</f>
        <v xml:space="preserve"> Adult</v>
      </c>
      <c r="O251" s="1" t="s">
        <v>17</v>
      </c>
      <c r="P251" s="1" t="b">
        <f>IF(O251="Yes", 1)</f>
        <v>0</v>
      </c>
      <c r="Q251" s="1"/>
    </row>
    <row r="252" spans="1:17" x14ac:dyDescent="0.25">
      <c r="A252">
        <v>27040</v>
      </c>
      <c r="B252" s="1" t="s">
        <v>31</v>
      </c>
      <c r="C252" s="1" t="s">
        <v>32</v>
      </c>
      <c r="D252" s="2">
        <v>20000</v>
      </c>
      <c r="E252" s="2" t="str">
        <f>IF(bike_buyers[[#This Row],[Income]]&lt;40000,"Under 40K", IF(bike_buyers[[#This Row],[Income]]&lt;60000,"40K-59K", IF(bike_buyers[[#This Row],[Income]]&lt;80000,"60K-79K", IF(bike_buyers[[#This Row],[Income]]&lt;100000,"80K-99K","100K+"))))</f>
        <v>Under 40K</v>
      </c>
      <c r="F252">
        <v>2</v>
      </c>
      <c r="G252" s="1" t="s">
        <v>28</v>
      </c>
      <c r="H252" s="1" t="s">
        <v>19</v>
      </c>
      <c r="I252" s="1" t="s">
        <v>14</v>
      </c>
      <c r="J252">
        <v>2</v>
      </c>
      <c r="K252" s="1" t="s">
        <v>25</v>
      </c>
      <c r="L252" s="1" t="s">
        <v>30</v>
      </c>
      <c r="M252">
        <v>49</v>
      </c>
      <c r="N252" s="1" t="str" cm="1">
        <f t="array" ref="N252">_xlfn.IFS(M252&lt;40, " Adult", M252&lt;60, "Middle Age", M252&gt;=60, "Older Adult")</f>
        <v>Middle Age</v>
      </c>
      <c r="O252" s="1" t="s">
        <v>17</v>
      </c>
      <c r="P252" s="1" t="b">
        <f>IF(O252="Yes", 1)</f>
        <v>0</v>
      </c>
      <c r="Q252" s="1"/>
    </row>
    <row r="253" spans="1:17" x14ac:dyDescent="0.25">
      <c r="A253">
        <v>22014</v>
      </c>
      <c r="B253" s="1" t="s">
        <v>34</v>
      </c>
      <c r="C253" s="1" t="s">
        <v>32</v>
      </c>
      <c r="D253" s="2">
        <v>30000</v>
      </c>
      <c r="E253" s="2" t="str">
        <f>IF(bike_buyers[[#This Row],[Income]]&lt;40000,"Under 40K", IF(bike_buyers[[#This Row],[Income]]&lt;60000,"40K-59K", IF(bike_buyers[[#This Row],[Income]]&lt;80000,"60K-79K", IF(bike_buyers[[#This Row],[Income]]&lt;100000,"80K-99K","100K+"))))</f>
        <v>Under 40K</v>
      </c>
      <c r="F253">
        <v>0</v>
      </c>
      <c r="G253" s="1" t="s">
        <v>26</v>
      </c>
      <c r="H253" s="1" t="s">
        <v>13</v>
      </c>
      <c r="I253" s="1" t="s">
        <v>14</v>
      </c>
      <c r="J253">
        <v>2</v>
      </c>
      <c r="K253" s="1" t="s">
        <v>22</v>
      </c>
      <c r="L253" s="1" t="s">
        <v>30</v>
      </c>
      <c r="M253">
        <v>26</v>
      </c>
      <c r="N253" s="1" t="str" cm="1">
        <f t="array" ref="N253">_xlfn.IFS(M253&lt;40, " Adult", M253&lt;60, "Middle Age", M253&gt;=60, "Older Adult")</f>
        <v xml:space="preserve"> Adult</v>
      </c>
      <c r="O253" s="1" t="s">
        <v>17</v>
      </c>
      <c r="P253" s="1" t="b">
        <f>IF(O253="Yes", 1)</f>
        <v>0</v>
      </c>
      <c r="Q253" s="1"/>
    </row>
    <row r="254" spans="1:17" x14ac:dyDescent="0.25">
      <c r="A254">
        <v>23275</v>
      </c>
      <c r="B254" s="1" t="s">
        <v>31</v>
      </c>
      <c r="C254" s="1" t="s">
        <v>32</v>
      </c>
      <c r="D254" s="2">
        <v>30000</v>
      </c>
      <c r="E254" s="2" t="str">
        <f>IF(bike_buyers[[#This Row],[Income]]&lt;40000,"Under 40K", IF(bike_buyers[[#This Row],[Income]]&lt;60000,"40K-59K", IF(bike_buyers[[#This Row],[Income]]&lt;80000,"60K-79K", IF(bike_buyers[[#This Row],[Income]]&lt;100000,"80K-99K","100K+"))))</f>
        <v>Under 40K</v>
      </c>
      <c r="F254">
        <v>2</v>
      </c>
      <c r="G254" s="1" t="s">
        <v>26</v>
      </c>
      <c r="H254" s="1" t="s">
        <v>13</v>
      </c>
      <c r="I254" s="1" t="s">
        <v>14</v>
      </c>
      <c r="J254">
        <v>2</v>
      </c>
      <c r="K254" s="1" t="s">
        <v>25</v>
      </c>
      <c r="L254" s="1" t="s">
        <v>30</v>
      </c>
      <c r="M254">
        <v>49</v>
      </c>
      <c r="N254" s="1" t="str" cm="1">
        <f t="array" ref="N254">_xlfn.IFS(M254&lt;40, " Adult", M254&lt;60, "Middle Age", M254&gt;=60, "Older Adult")</f>
        <v>Middle Age</v>
      </c>
      <c r="O254" s="1" t="s">
        <v>17</v>
      </c>
      <c r="P254" s="1" t="b">
        <f>IF(O254="Yes", 1)</f>
        <v>0</v>
      </c>
      <c r="Q254" s="1"/>
    </row>
    <row r="255" spans="1:17" x14ac:dyDescent="0.25">
      <c r="A255">
        <v>20084</v>
      </c>
      <c r="B255" s="1" t="s">
        <v>31</v>
      </c>
      <c r="C255" s="1" t="s">
        <v>32</v>
      </c>
      <c r="D255" s="2">
        <v>20000</v>
      </c>
      <c r="E255" s="2" t="str">
        <f>IF(bike_buyers[[#This Row],[Income]]&lt;40000,"Under 40K", IF(bike_buyers[[#This Row],[Income]]&lt;60000,"40K-59K", IF(bike_buyers[[#This Row],[Income]]&lt;80000,"60K-79K", IF(bike_buyers[[#This Row],[Income]]&lt;100000,"80K-99K","100K+"))))</f>
        <v>Under 40K</v>
      </c>
      <c r="F255">
        <v>2</v>
      </c>
      <c r="G255" s="1" t="s">
        <v>26</v>
      </c>
      <c r="H255" s="1" t="s">
        <v>24</v>
      </c>
      <c r="I255" s="1" t="s">
        <v>17</v>
      </c>
      <c r="J255">
        <v>2</v>
      </c>
      <c r="K255" s="1" t="s">
        <v>15</v>
      </c>
      <c r="L255" s="1" t="s">
        <v>30</v>
      </c>
      <c r="M255">
        <v>53</v>
      </c>
      <c r="N255" s="1" t="str" cm="1">
        <f t="array" ref="N255">_xlfn.IFS(M255&lt;40, " Adult", M255&lt;60, "Middle Age", M255&gt;=60, "Older Adult")</f>
        <v>Middle Age</v>
      </c>
      <c r="O255" s="1" t="s">
        <v>17</v>
      </c>
      <c r="P255" s="1" t="b">
        <f>IF(O255="Yes", 1)</f>
        <v>0</v>
      </c>
      <c r="Q255" s="1"/>
    </row>
    <row r="256" spans="1:17" x14ac:dyDescent="0.25">
      <c r="A256">
        <v>14514</v>
      </c>
      <c r="B256" s="1" t="s">
        <v>34</v>
      </c>
      <c r="C256" s="1" t="s">
        <v>33</v>
      </c>
      <c r="D256" s="2">
        <v>30000</v>
      </c>
      <c r="E256" s="2" t="str">
        <f>IF(bike_buyers[[#This Row],[Income]]&lt;40000,"Under 40K", IF(bike_buyers[[#This Row],[Income]]&lt;60000,"40K-59K", IF(bike_buyers[[#This Row],[Income]]&lt;80000,"60K-79K", IF(bike_buyers[[#This Row],[Income]]&lt;100000,"80K-99K","100K+"))))</f>
        <v>Under 40K</v>
      </c>
      <c r="F256">
        <v>0</v>
      </c>
      <c r="G256" s="1" t="s">
        <v>18</v>
      </c>
      <c r="H256" s="1" t="s">
        <v>13</v>
      </c>
      <c r="I256" s="1" t="s">
        <v>14</v>
      </c>
      <c r="J256">
        <v>1</v>
      </c>
      <c r="K256" s="1" t="s">
        <v>22</v>
      </c>
      <c r="L256" s="1" t="s">
        <v>30</v>
      </c>
      <c r="M256">
        <v>26</v>
      </c>
      <c r="N256" s="1" t="str" cm="1">
        <f t="array" ref="N256">_xlfn.IFS(M256&lt;40, " Adult", M256&lt;60, "Middle Age", M256&gt;=60, "Older Adult")</f>
        <v xml:space="preserve"> Adult</v>
      </c>
      <c r="O256" s="1" t="s">
        <v>17</v>
      </c>
      <c r="P256" s="1" t="b">
        <f>IF(O256="Yes", 1)</f>
        <v>0</v>
      </c>
      <c r="Q256" s="1"/>
    </row>
    <row r="257" spans="1:17" x14ac:dyDescent="0.25">
      <c r="A257">
        <v>14077</v>
      </c>
      <c r="B257" s="1" t="s">
        <v>34</v>
      </c>
      <c r="C257" s="1" t="s">
        <v>32</v>
      </c>
      <c r="D257" s="2">
        <v>30000</v>
      </c>
      <c r="E257" s="2" t="str">
        <f>IF(bike_buyers[[#This Row],[Income]]&lt;40000,"Under 40K", IF(bike_buyers[[#This Row],[Income]]&lt;60000,"40K-59K", IF(bike_buyers[[#This Row],[Income]]&lt;80000,"60K-79K", IF(bike_buyers[[#This Row],[Income]]&lt;100000,"80K-99K","100K+"))))</f>
        <v>Under 40K</v>
      </c>
      <c r="F257">
        <v>0</v>
      </c>
      <c r="G257" s="1" t="s">
        <v>26</v>
      </c>
      <c r="H257" s="1" t="s">
        <v>13</v>
      </c>
      <c r="I257" s="1" t="s">
        <v>14</v>
      </c>
      <c r="J257">
        <v>2</v>
      </c>
      <c r="K257" s="1" t="s">
        <v>22</v>
      </c>
      <c r="L257" s="1" t="s">
        <v>30</v>
      </c>
      <c r="M257">
        <v>30</v>
      </c>
      <c r="N257" s="1" t="str" cm="1">
        <f t="array" ref="N257">_xlfn.IFS(M257&lt;40, " Adult", M257&lt;60, "Middle Age", M257&gt;=60, "Older Adult")</f>
        <v xml:space="preserve"> Adult</v>
      </c>
      <c r="O257" s="1" t="s">
        <v>17</v>
      </c>
      <c r="P257" s="1" t="b">
        <f>IF(O257="Yes", 1)</f>
        <v>0</v>
      </c>
      <c r="Q257" s="1"/>
    </row>
    <row r="258" spans="1:17" x14ac:dyDescent="0.25">
      <c r="A258">
        <v>20758</v>
      </c>
      <c r="B258" s="1" t="s">
        <v>31</v>
      </c>
      <c r="C258" s="1" t="s">
        <v>32</v>
      </c>
      <c r="D258" s="2">
        <v>30000</v>
      </c>
      <c r="E258" s="2" t="str">
        <f>IF(bike_buyers[[#This Row],[Income]]&lt;40000,"Under 40K", IF(bike_buyers[[#This Row],[Income]]&lt;60000,"40K-59K", IF(bike_buyers[[#This Row],[Income]]&lt;80000,"60K-79K", IF(bike_buyers[[#This Row],[Income]]&lt;100000,"80K-99K","100K+"))))</f>
        <v>Under 40K</v>
      </c>
      <c r="F258">
        <v>2</v>
      </c>
      <c r="G258" s="1" t="s">
        <v>26</v>
      </c>
      <c r="H258" s="1" t="s">
        <v>13</v>
      </c>
      <c r="I258" s="1" t="s">
        <v>14</v>
      </c>
      <c r="J258">
        <v>2</v>
      </c>
      <c r="K258" s="1" t="s">
        <v>25</v>
      </c>
      <c r="L258" s="1" t="s">
        <v>30</v>
      </c>
      <c r="M258">
        <v>50</v>
      </c>
      <c r="N258" s="1" t="str" cm="1">
        <f t="array" ref="N258">_xlfn.IFS(M258&lt;40, " Adult", M258&lt;60, "Middle Age", M258&gt;=60, "Older Adult")</f>
        <v>Middle Age</v>
      </c>
      <c r="O258" s="1" t="s">
        <v>17</v>
      </c>
      <c r="P258" s="1" t="b">
        <f>IF(O258="Yes", 1)</f>
        <v>0</v>
      </c>
      <c r="Q258" s="1"/>
    </row>
    <row r="259" spans="1:17" x14ac:dyDescent="0.25">
      <c r="A259">
        <v>18649</v>
      </c>
      <c r="B259" s="1" t="s">
        <v>34</v>
      </c>
      <c r="C259" s="1" t="s">
        <v>32</v>
      </c>
      <c r="D259" s="2">
        <v>30000</v>
      </c>
      <c r="E259" s="2" t="str">
        <f>IF(bike_buyers[[#This Row],[Income]]&lt;40000,"Under 40K", IF(bike_buyers[[#This Row],[Income]]&lt;60000,"40K-59K", IF(bike_buyers[[#This Row],[Income]]&lt;80000,"60K-79K", IF(bike_buyers[[#This Row],[Income]]&lt;100000,"80K-99K","100K+"))))</f>
        <v>Under 40K</v>
      </c>
      <c r="F259">
        <v>1</v>
      </c>
      <c r="G259" s="1" t="s">
        <v>26</v>
      </c>
      <c r="H259" s="1" t="s">
        <v>19</v>
      </c>
      <c r="I259" s="1" t="s">
        <v>14</v>
      </c>
      <c r="J259">
        <v>2</v>
      </c>
      <c r="K259" s="1" t="s">
        <v>25</v>
      </c>
      <c r="L259" s="1" t="s">
        <v>30</v>
      </c>
      <c r="M259">
        <v>51</v>
      </c>
      <c r="N259" s="1" t="str" cm="1">
        <f t="array" ref="N259">_xlfn.IFS(M259&lt;40, " Adult", M259&lt;60, "Middle Age", M259&gt;=60, "Older Adult")</f>
        <v>Middle Age</v>
      </c>
      <c r="O259" s="1" t="s">
        <v>14</v>
      </c>
      <c r="P259" s="1">
        <f>IF(O259="Yes", 1)</f>
        <v>1</v>
      </c>
      <c r="Q259" s="1"/>
    </row>
    <row r="260" spans="1:17" x14ac:dyDescent="0.25">
      <c r="A260">
        <v>23797</v>
      </c>
      <c r="B260" s="1" t="s">
        <v>34</v>
      </c>
      <c r="C260" s="1" t="s">
        <v>32</v>
      </c>
      <c r="D260" s="2">
        <v>20000</v>
      </c>
      <c r="E260" s="2" t="str">
        <f>IF(bike_buyers[[#This Row],[Income]]&lt;40000,"Under 40K", IF(bike_buyers[[#This Row],[Income]]&lt;60000,"40K-59K", IF(bike_buyers[[#This Row],[Income]]&lt;80000,"60K-79K", IF(bike_buyers[[#This Row],[Income]]&lt;100000,"80K-99K","100K+"))))</f>
        <v>Under 40K</v>
      </c>
      <c r="F260">
        <v>3</v>
      </c>
      <c r="G260" s="1" t="s">
        <v>28</v>
      </c>
      <c r="H260" s="1" t="s">
        <v>19</v>
      </c>
      <c r="I260" s="1" t="s">
        <v>17</v>
      </c>
      <c r="J260">
        <v>2</v>
      </c>
      <c r="K260" s="1" t="s">
        <v>15</v>
      </c>
      <c r="L260" s="1" t="s">
        <v>30</v>
      </c>
      <c r="M260">
        <v>50</v>
      </c>
      <c r="N260" s="1" t="str" cm="1">
        <f t="array" ref="N260">_xlfn.IFS(M260&lt;40, " Adult", M260&lt;60, "Middle Age", M260&gt;=60, "Older Adult")</f>
        <v>Middle Age</v>
      </c>
      <c r="O260" s="1" t="s">
        <v>17</v>
      </c>
      <c r="P260" s="1" t="b">
        <f>IF(O260="Yes", 1)</f>
        <v>0</v>
      </c>
      <c r="Q260" s="1"/>
    </row>
    <row r="261" spans="1:17" x14ac:dyDescent="0.25">
      <c r="A261">
        <v>20076</v>
      </c>
      <c r="B261" s="1" t="s">
        <v>34</v>
      </c>
      <c r="C261" s="1" t="s">
        <v>33</v>
      </c>
      <c r="D261" s="2">
        <v>10000</v>
      </c>
      <c r="E261" s="2" t="str">
        <f>IF(bike_buyers[[#This Row],[Income]]&lt;40000,"Under 40K", IF(bike_buyers[[#This Row],[Income]]&lt;60000,"40K-59K", IF(bike_buyers[[#This Row],[Income]]&lt;80000,"60K-79K", IF(bike_buyers[[#This Row],[Income]]&lt;100000,"80K-99K","100K+"))))</f>
        <v>Under 40K</v>
      </c>
      <c r="F261">
        <v>2</v>
      </c>
      <c r="G261" s="1" t="s">
        <v>26</v>
      </c>
      <c r="H261" s="1" t="s">
        <v>24</v>
      </c>
      <c r="I261" s="1" t="s">
        <v>14</v>
      </c>
      <c r="J261">
        <v>2</v>
      </c>
      <c r="K261" s="1" t="s">
        <v>25</v>
      </c>
      <c r="L261" s="1" t="s">
        <v>30</v>
      </c>
      <c r="M261">
        <v>53</v>
      </c>
      <c r="N261" s="1" t="str" cm="1">
        <f t="array" ref="N261">_xlfn.IFS(M261&lt;40, " Adult", M261&lt;60, "Middle Age", M261&gt;=60, "Older Adult")</f>
        <v>Middle Age</v>
      </c>
      <c r="O261" s="1" t="s">
        <v>14</v>
      </c>
      <c r="P261" s="1">
        <f>IF(O261="Yes", 1)</f>
        <v>1</v>
      </c>
      <c r="Q261" s="1"/>
    </row>
    <row r="262" spans="1:17" x14ac:dyDescent="0.25">
      <c r="A262">
        <v>26270</v>
      </c>
      <c r="B262" s="1" t="s">
        <v>34</v>
      </c>
      <c r="C262" s="1" t="s">
        <v>33</v>
      </c>
      <c r="D262" s="2">
        <v>20000</v>
      </c>
      <c r="E262" s="2" t="str">
        <f>IF(bike_buyers[[#This Row],[Income]]&lt;40000,"Under 40K", IF(bike_buyers[[#This Row],[Income]]&lt;60000,"40K-59K", IF(bike_buyers[[#This Row],[Income]]&lt;80000,"60K-79K", IF(bike_buyers[[#This Row],[Income]]&lt;100000,"80K-99K","100K+"))))</f>
        <v>Under 40K</v>
      </c>
      <c r="F262">
        <v>2</v>
      </c>
      <c r="G262" s="1" t="s">
        <v>28</v>
      </c>
      <c r="H262" s="1" t="s">
        <v>19</v>
      </c>
      <c r="I262" s="1" t="s">
        <v>14</v>
      </c>
      <c r="J262">
        <v>2</v>
      </c>
      <c r="K262" s="1" t="s">
        <v>25</v>
      </c>
      <c r="L262" s="1" t="s">
        <v>30</v>
      </c>
      <c r="M262">
        <v>49</v>
      </c>
      <c r="N262" s="1" t="str" cm="1">
        <f t="array" ref="N262">_xlfn.IFS(M262&lt;40, " Adult", M262&lt;60, "Middle Age", M262&gt;=60, "Older Adult")</f>
        <v>Middle Age</v>
      </c>
      <c r="O262" s="1" t="s">
        <v>17</v>
      </c>
      <c r="P262" s="1" t="b">
        <f>IF(O262="Yes", 1)</f>
        <v>0</v>
      </c>
      <c r="Q262" s="1"/>
    </row>
    <row r="263" spans="1:17" x14ac:dyDescent="0.25">
      <c r="A263">
        <v>23256</v>
      </c>
      <c r="B263" s="1" t="s">
        <v>34</v>
      </c>
      <c r="C263" s="1" t="s">
        <v>32</v>
      </c>
      <c r="D263" s="2">
        <v>30000</v>
      </c>
      <c r="E263" s="2" t="str">
        <f>IF(bike_buyers[[#This Row],[Income]]&lt;40000,"Under 40K", IF(bike_buyers[[#This Row],[Income]]&lt;60000,"40K-59K", IF(bike_buyers[[#This Row],[Income]]&lt;80000,"60K-79K", IF(bike_buyers[[#This Row],[Income]]&lt;100000,"80K-99K","100K+"))))</f>
        <v>Under 40K</v>
      </c>
      <c r="F263">
        <v>1</v>
      </c>
      <c r="G263" s="1" t="s">
        <v>26</v>
      </c>
      <c r="H263" s="1" t="s">
        <v>19</v>
      </c>
      <c r="I263" s="1" t="s">
        <v>17</v>
      </c>
      <c r="J263">
        <v>1</v>
      </c>
      <c r="K263" s="1" t="s">
        <v>22</v>
      </c>
      <c r="L263" s="1" t="s">
        <v>30</v>
      </c>
      <c r="M263">
        <v>52</v>
      </c>
      <c r="N263" s="1" t="str" cm="1">
        <f t="array" ref="N263">_xlfn.IFS(M263&lt;40, " Adult", M263&lt;60, "Middle Age", M263&gt;=60, "Older Adult")</f>
        <v>Middle Age</v>
      </c>
      <c r="O263" s="1" t="s">
        <v>17</v>
      </c>
      <c r="P263" s="1" t="b">
        <f>IF(O263="Yes", 1)</f>
        <v>0</v>
      </c>
      <c r="Q263" s="1"/>
    </row>
    <row r="264" spans="1:17" x14ac:dyDescent="0.25">
      <c r="A264">
        <v>12768</v>
      </c>
      <c r="B264" s="1" t="s">
        <v>31</v>
      </c>
      <c r="C264" s="1" t="s">
        <v>32</v>
      </c>
      <c r="D264" s="2">
        <v>30000</v>
      </c>
      <c r="E264" s="2" t="str">
        <f>IF(bike_buyers[[#This Row],[Income]]&lt;40000,"Under 40K", IF(bike_buyers[[#This Row],[Income]]&lt;60000,"40K-59K", IF(bike_buyers[[#This Row],[Income]]&lt;80000,"60K-79K", IF(bike_buyers[[#This Row],[Income]]&lt;100000,"80K-99K","100K+"))))</f>
        <v>Under 40K</v>
      </c>
      <c r="F264">
        <v>1</v>
      </c>
      <c r="G264" s="1" t="s">
        <v>26</v>
      </c>
      <c r="H264" s="1" t="s">
        <v>19</v>
      </c>
      <c r="I264" s="1" t="s">
        <v>14</v>
      </c>
      <c r="J264">
        <v>1</v>
      </c>
      <c r="K264" s="1" t="s">
        <v>21</v>
      </c>
      <c r="L264" s="1" t="s">
        <v>30</v>
      </c>
      <c r="M264">
        <v>52</v>
      </c>
      <c r="N264" s="1" t="str" cm="1">
        <f t="array" ref="N264">_xlfn.IFS(M264&lt;40, " Adult", M264&lt;60, "Middle Age", M264&gt;=60, "Older Adult")</f>
        <v>Middle Age</v>
      </c>
      <c r="O264" s="1" t="s">
        <v>14</v>
      </c>
      <c r="P264" s="1">
        <f>IF(O264="Yes", 1)</f>
        <v>1</v>
      </c>
      <c r="Q264" s="1"/>
    </row>
    <row r="265" spans="1:17" x14ac:dyDescent="0.25">
      <c r="A265">
        <v>22971</v>
      </c>
      <c r="B265" s="1" t="s">
        <v>34</v>
      </c>
      <c r="C265" s="1" t="s">
        <v>33</v>
      </c>
      <c r="D265" s="2">
        <v>30000</v>
      </c>
      <c r="E265" s="2" t="str">
        <f>IF(bike_buyers[[#This Row],[Income]]&lt;40000,"Under 40K", IF(bike_buyers[[#This Row],[Income]]&lt;60000,"40K-59K", IF(bike_buyers[[#This Row],[Income]]&lt;80000,"60K-79K", IF(bike_buyers[[#This Row],[Income]]&lt;100000,"80K-99K","100K+"))))</f>
        <v>Under 40K</v>
      </c>
      <c r="F265">
        <v>0</v>
      </c>
      <c r="G265" s="1" t="s">
        <v>26</v>
      </c>
      <c r="H265" s="1" t="s">
        <v>13</v>
      </c>
      <c r="I265" s="1" t="s">
        <v>17</v>
      </c>
      <c r="J265">
        <v>2</v>
      </c>
      <c r="K265" s="1" t="s">
        <v>15</v>
      </c>
      <c r="L265" s="1" t="s">
        <v>30</v>
      </c>
      <c r="M265">
        <v>25</v>
      </c>
      <c r="N265" s="1" t="str" cm="1">
        <f t="array" ref="N265">_xlfn.IFS(M265&lt;40, " Adult", M265&lt;60, "Middle Age", M265&gt;=60, "Older Adult")</f>
        <v xml:space="preserve"> Adult</v>
      </c>
      <c r="O265" s="1" t="s">
        <v>14</v>
      </c>
      <c r="P265" s="1">
        <f>IF(O265="Yes", 1)</f>
        <v>1</v>
      </c>
      <c r="Q265" s="1"/>
    </row>
    <row r="266" spans="1:17" x14ac:dyDescent="0.25">
      <c r="A266">
        <v>23248</v>
      </c>
      <c r="B266" s="1" t="s">
        <v>31</v>
      </c>
      <c r="C266" s="1" t="s">
        <v>33</v>
      </c>
      <c r="D266" s="2">
        <v>10000</v>
      </c>
      <c r="E266" s="2" t="str">
        <f>IF(bike_buyers[[#This Row],[Income]]&lt;40000,"Under 40K", IF(bike_buyers[[#This Row],[Income]]&lt;60000,"40K-59K", IF(bike_buyers[[#This Row],[Income]]&lt;80000,"60K-79K", IF(bike_buyers[[#This Row],[Income]]&lt;100000,"80K-99K","100K+"))))</f>
        <v>Under 40K</v>
      </c>
      <c r="F266">
        <v>2</v>
      </c>
      <c r="G266" s="1" t="s">
        <v>26</v>
      </c>
      <c r="H266" s="1" t="s">
        <v>24</v>
      </c>
      <c r="I266" s="1" t="s">
        <v>14</v>
      </c>
      <c r="J266">
        <v>2</v>
      </c>
      <c r="K266" s="1" t="s">
        <v>25</v>
      </c>
      <c r="L266" s="1" t="s">
        <v>30</v>
      </c>
      <c r="M266">
        <v>53</v>
      </c>
      <c r="N266" s="1" t="str" cm="1">
        <f t="array" ref="N266">_xlfn.IFS(M266&lt;40, " Adult", M266&lt;60, "Middle Age", M266&gt;=60, "Older Adult")</f>
        <v>Middle Age</v>
      </c>
      <c r="O266" s="1" t="s">
        <v>17</v>
      </c>
      <c r="P266" s="1" t="b">
        <f>IF(O266="Yes", 1)</f>
        <v>0</v>
      </c>
      <c r="Q266" s="1"/>
    </row>
    <row r="267" spans="1:17" x14ac:dyDescent="0.25">
      <c r="A267">
        <v>17668</v>
      </c>
      <c r="B267" s="1" t="s">
        <v>34</v>
      </c>
      <c r="C267" s="1" t="s">
        <v>32</v>
      </c>
      <c r="D267" s="2">
        <v>30000</v>
      </c>
      <c r="E267" s="2" t="str">
        <f>IF(bike_buyers[[#This Row],[Income]]&lt;40000,"Under 40K", IF(bike_buyers[[#This Row],[Income]]&lt;60000,"40K-59K", IF(bike_buyers[[#This Row],[Income]]&lt;80000,"60K-79K", IF(bike_buyers[[#This Row],[Income]]&lt;100000,"80K-99K","100K+"))))</f>
        <v>Under 40K</v>
      </c>
      <c r="F267">
        <v>2</v>
      </c>
      <c r="G267" s="1" t="s">
        <v>26</v>
      </c>
      <c r="H267" s="1" t="s">
        <v>13</v>
      </c>
      <c r="I267" s="1" t="s">
        <v>14</v>
      </c>
      <c r="J267">
        <v>2</v>
      </c>
      <c r="K267" s="1" t="s">
        <v>25</v>
      </c>
      <c r="L267" s="1" t="s">
        <v>30</v>
      </c>
      <c r="M267">
        <v>50</v>
      </c>
      <c r="N267" s="1" t="str" cm="1">
        <f t="array" ref="N267">_xlfn.IFS(M267&lt;40, " Adult", M267&lt;60, "Middle Age", M267&gt;=60, "Older Adult")</f>
        <v>Middle Age</v>
      </c>
      <c r="O267" s="1" t="s">
        <v>14</v>
      </c>
      <c r="P267" s="1">
        <f>IF(O267="Yes", 1)</f>
        <v>1</v>
      </c>
      <c r="Q267" s="1"/>
    </row>
    <row r="268" spans="1:17" x14ac:dyDescent="0.25">
      <c r="A268">
        <v>14271</v>
      </c>
      <c r="B268" s="1" t="s">
        <v>31</v>
      </c>
      <c r="C268" s="1" t="s">
        <v>32</v>
      </c>
      <c r="D268" s="2">
        <v>30000</v>
      </c>
      <c r="E268" s="2" t="str">
        <f>IF(bike_buyers[[#This Row],[Income]]&lt;40000,"Under 40K", IF(bike_buyers[[#This Row],[Income]]&lt;60000,"40K-59K", IF(bike_buyers[[#This Row],[Income]]&lt;80000,"60K-79K", IF(bike_buyers[[#This Row],[Income]]&lt;100000,"80K-99K","100K+"))))</f>
        <v>Under 40K</v>
      </c>
      <c r="F268">
        <v>0</v>
      </c>
      <c r="G268" s="1" t="s">
        <v>26</v>
      </c>
      <c r="H268" s="1" t="s">
        <v>13</v>
      </c>
      <c r="I268" s="1" t="s">
        <v>14</v>
      </c>
      <c r="J268">
        <v>2</v>
      </c>
      <c r="K268" s="1" t="s">
        <v>22</v>
      </c>
      <c r="L268" s="1" t="s">
        <v>30</v>
      </c>
      <c r="M268">
        <v>32</v>
      </c>
      <c r="N268" s="1" t="str" cm="1">
        <f t="array" ref="N268">_xlfn.IFS(M268&lt;40, " Adult", M268&lt;60, "Middle Age", M268&gt;=60, "Older Adult")</f>
        <v xml:space="preserve"> Adult</v>
      </c>
      <c r="O268" s="1" t="s">
        <v>17</v>
      </c>
      <c r="P268" s="1" t="b">
        <f>IF(O268="Yes", 1)</f>
        <v>0</v>
      </c>
      <c r="Q268" s="1"/>
    </row>
    <row r="269" spans="1:17" x14ac:dyDescent="0.25">
      <c r="A269">
        <v>25343</v>
      </c>
      <c r="B269" s="1" t="s">
        <v>34</v>
      </c>
      <c r="C269" s="1" t="s">
        <v>33</v>
      </c>
      <c r="D269" s="2">
        <v>20000</v>
      </c>
      <c r="E269" s="2" t="str">
        <f>IF(bike_buyers[[#This Row],[Income]]&lt;40000,"Under 40K", IF(bike_buyers[[#This Row],[Income]]&lt;60000,"40K-59K", IF(bike_buyers[[#This Row],[Income]]&lt;80000,"60K-79K", IF(bike_buyers[[#This Row],[Income]]&lt;100000,"80K-99K","100K+"))))</f>
        <v>Under 40K</v>
      </c>
      <c r="F269">
        <v>3</v>
      </c>
      <c r="G269" s="1" t="s">
        <v>28</v>
      </c>
      <c r="H269" s="1" t="s">
        <v>19</v>
      </c>
      <c r="I269" s="1" t="s">
        <v>14</v>
      </c>
      <c r="J269">
        <v>2</v>
      </c>
      <c r="K269" s="1" t="s">
        <v>25</v>
      </c>
      <c r="L269" s="1" t="s">
        <v>30</v>
      </c>
      <c r="M269">
        <v>50</v>
      </c>
      <c r="N269" s="1" t="str" cm="1">
        <f t="array" ref="N269">_xlfn.IFS(M269&lt;40, " Adult", M269&lt;60, "Middle Age", M269&gt;=60, "Older Adult")</f>
        <v>Middle Age</v>
      </c>
      <c r="O269" s="1" t="s">
        <v>17</v>
      </c>
      <c r="P269" s="1" t="b">
        <f>IF(O269="Yes", 1)</f>
        <v>0</v>
      </c>
      <c r="Q269" s="1"/>
    </row>
    <row r="270" spans="1:17" x14ac:dyDescent="0.25">
      <c r="A270">
        <v>18347</v>
      </c>
      <c r="B270" s="1" t="s">
        <v>34</v>
      </c>
      <c r="C270" s="1" t="s">
        <v>33</v>
      </c>
      <c r="D270" s="2">
        <v>30000</v>
      </c>
      <c r="E270" s="2" t="str">
        <f>IF(bike_buyers[[#This Row],[Income]]&lt;40000,"Under 40K", IF(bike_buyers[[#This Row],[Income]]&lt;60000,"40K-59K", IF(bike_buyers[[#This Row],[Income]]&lt;80000,"60K-79K", IF(bike_buyers[[#This Row],[Income]]&lt;100000,"80K-99K","100K+"))))</f>
        <v>Under 40K</v>
      </c>
      <c r="F270">
        <v>0</v>
      </c>
      <c r="G270" s="1" t="s">
        <v>18</v>
      </c>
      <c r="H270" s="1" t="s">
        <v>13</v>
      </c>
      <c r="I270" s="1" t="s">
        <v>17</v>
      </c>
      <c r="J270">
        <v>1</v>
      </c>
      <c r="K270" s="1" t="s">
        <v>25</v>
      </c>
      <c r="L270" s="1" t="s">
        <v>30</v>
      </c>
      <c r="M270">
        <v>31</v>
      </c>
      <c r="N270" s="1" t="str" cm="1">
        <f t="array" ref="N270">_xlfn.IFS(M270&lt;40, " Adult", M270&lt;60, "Middle Age", M270&gt;=60, "Older Adult")</f>
        <v xml:space="preserve"> Adult</v>
      </c>
      <c r="O270" s="1" t="s">
        <v>17</v>
      </c>
      <c r="P270" s="1" t="b">
        <f>IF(O270="Yes", 1)</f>
        <v>0</v>
      </c>
      <c r="Q270" s="1"/>
    </row>
    <row r="271" spans="1:17" x14ac:dyDescent="0.25">
      <c r="A271">
        <v>19217</v>
      </c>
      <c r="B271" s="1" t="s">
        <v>31</v>
      </c>
      <c r="C271" s="1" t="s">
        <v>32</v>
      </c>
      <c r="D271" s="2">
        <v>30000</v>
      </c>
      <c r="E271" s="2" t="str">
        <f>IF(bike_buyers[[#This Row],[Income]]&lt;40000,"Under 40K", IF(bike_buyers[[#This Row],[Income]]&lt;60000,"40K-59K", IF(bike_buyers[[#This Row],[Income]]&lt;80000,"60K-79K", IF(bike_buyers[[#This Row],[Income]]&lt;100000,"80K-99K","100K+"))))</f>
        <v>Under 40K</v>
      </c>
      <c r="F271">
        <v>2</v>
      </c>
      <c r="G271" s="1" t="s">
        <v>26</v>
      </c>
      <c r="H271" s="1" t="s">
        <v>13</v>
      </c>
      <c r="I271" s="1" t="s">
        <v>14</v>
      </c>
      <c r="J271">
        <v>2</v>
      </c>
      <c r="K271" s="1" t="s">
        <v>25</v>
      </c>
      <c r="L271" s="1" t="s">
        <v>30</v>
      </c>
      <c r="M271">
        <v>49</v>
      </c>
      <c r="N271" s="1" t="str" cm="1">
        <f t="array" ref="N271">_xlfn.IFS(M271&lt;40, " Adult", M271&lt;60, "Middle Age", M271&gt;=60, "Older Adult")</f>
        <v>Middle Age</v>
      </c>
      <c r="O271" s="1" t="s">
        <v>17</v>
      </c>
      <c r="P271" s="1" t="b">
        <f>IF(O271="Yes", 1)</f>
        <v>0</v>
      </c>
      <c r="Q271" s="1"/>
    </row>
    <row r="272" spans="1:17" x14ac:dyDescent="0.25">
      <c r="A272">
        <v>15839</v>
      </c>
      <c r="B272" s="1" t="s">
        <v>34</v>
      </c>
      <c r="C272" s="1" t="s">
        <v>32</v>
      </c>
      <c r="D272" s="2">
        <v>30000</v>
      </c>
      <c r="E272" s="2" t="str">
        <f>IF(bike_buyers[[#This Row],[Income]]&lt;40000,"Under 40K", IF(bike_buyers[[#This Row],[Income]]&lt;60000,"40K-59K", IF(bike_buyers[[#This Row],[Income]]&lt;80000,"60K-79K", IF(bike_buyers[[#This Row],[Income]]&lt;100000,"80K-99K","100K+"))))</f>
        <v>Under 40K</v>
      </c>
      <c r="F272">
        <v>0</v>
      </c>
      <c r="G272" s="1" t="s">
        <v>18</v>
      </c>
      <c r="H272" s="1" t="s">
        <v>13</v>
      </c>
      <c r="I272" s="1" t="s">
        <v>14</v>
      </c>
      <c r="J272">
        <v>1</v>
      </c>
      <c r="K272" s="1" t="s">
        <v>22</v>
      </c>
      <c r="L272" s="1" t="s">
        <v>30</v>
      </c>
      <c r="M272">
        <v>32</v>
      </c>
      <c r="N272" s="1" t="str" cm="1">
        <f t="array" ref="N272">_xlfn.IFS(M272&lt;40, " Adult", M272&lt;60, "Middle Age", M272&gt;=60, "Older Adult")</f>
        <v xml:space="preserve"> Adult</v>
      </c>
      <c r="O272" s="1" t="s">
        <v>17</v>
      </c>
      <c r="P272" s="1" t="b">
        <f>IF(O272="Yes", 1)</f>
        <v>0</v>
      </c>
      <c r="Q272" s="1"/>
    </row>
    <row r="273" spans="1:17" x14ac:dyDescent="0.25">
      <c r="A273">
        <v>13714</v>
      </c>
      <c r="B273" s="1" t="s">
        <v>31</v>
      </c>
      <c r="C273" s="1" t="s">
        <v>33</v>
      </c>
      <c r="D273" s="2">
        <v>20000</v>
      </c>
      <c r="E273" s="2" t="str">
        <f>IF(bike_buyers[[#This Row],[Income]]&lt;40000,"Under 40K", IF(bike_buyers[[#This Row],[Income]]&lt;60000,"40K-59K", IF(bike_buyers[[#This Row],[Income]]&lt;80000,"60K-79K", IF(bike_buyers[[#This Row],[Income]]&lt;100000,"80K-99K","100K+"))))</f>
        <v>Under 40K</v>
      </c>
      <c r="F273">
        <v>2</v>
      </c>
      <c r="G273" s="1" t="s">
        <v>26</v>
      </c>
      <c r="H273" s="1" t="s">
        <v>24</v>
      </c>
      <c r="I273" s="1" t="s">
        <v>17</v>
      </c>
      <c r="J273">
        <v>2</v>
      </c>
      <c r="K273" s="1" t="s">
        <v>25</v>
      </c>
      <c r="L273" s="1" t="s">
        <v>30</v>
      </c>
      <c r="M273">
        <v>53</v>
      </c>
      <c r="N273" s="1" t="str" cm="1">
        <f t="array" ref="N273">_xlfn.IFS(M273&lt;40, " Adult", M273&lt;60, "Middle Age", M273&gt;=60, "Older Adult")</f>
        <v>Middle Age</v>
      </c>
      <c r="O273" s="1" t="s">
        <v>14</v>
      </c>
      <c r="P273" s="1">
        <f>IF(O273="Yes", 1)</f>
        <v>1</v>
      </c>
      <c r="Q273" s="1"/>
    </row>
    <row r="274" spans="1:17" x14ac:dyDescent="0.25">
      <c r="A274">
        <v>24955</v>
      </c>
      <c r="B274" s="1" t="s">
        <v>34</v>
      </c>
      <c r="C274" s="1" t="s">
        <v>32</v>
      </c>
      <c r="D274" s="2">
        <v>30000</v>
      </c>
      <c r="E274" s="2" t="str">
        <f>IF(bike_buyers[[#This Row],[Income]]&lt;40000,"Under 40K", IF(bike_buyers[[#This Row],[Income]]&lt;60000,"40K-59K", IF(bike_buyers[[#This Row],[Income]]&lt;80000,"60K-79K", IF(bike_buyers[[#This Row],[Income]]&lt;100000,"80K-99K","100K+"))))</f>
        <v>Under 40K</v>
      </c>
      <c r="F274">
        <v>5</v>
      </c>
      <c r="G274" s="1" t="s">
        <v>28</v>
      </c>
      <c r="H274" s="1" t="s">
        <v>13</v>
      </c>
      <c r="I274" s="1" t="s">
        <v>14</v>
      </c>
      <c r="J274">
        <v>3</v>
      </c>
      <c r="K274" s="1" t="s">
        <v>62</v>
      </c>
      <c r="L274" s="1" t="s">
        <v>30</v>
      </c>
      <c r="M274">
        <v>60</v>
      </c>
      <c r="N274" s="1" t="str" cm="1">
        <f t="array" ref="N274">_xlfn.IFS(M274&lt;40, " Adult", M274&lt;60, "Middle Age", M274&gt;=60, "Older Adult")</f>
        <v>Older Adult</v>
      </c>
      <c r="O274" s="1" t="s">
        <v>14</v>
      </c>
      <c r="P274" s="1">
        <f>IF(O274="Yes", 1)</f>
        <v>1</v>
      </c>
      <c r="Q274" s="1"/>
    </row>
    <row r="275" spans="1:17" x14ac:dyDescent="0.25">
      <c r="A275">
        <v>14883</v>
      </c>
      <c r="B275" s="1" t="s">
        <v>31</v>
      </c>
      <c r="C275" s="1" t="s">
        <v>33</v>
      </c>
      <c r="D275" s="2">
        <v>30000</v>
      </c>
      <c r="E275" s="2" t="str">
        <f>IF(bike_buyers[[#This Row],[Income]]&lt;40000,"Under 40K", IF(bike_buyers[[#This Row],[Income]]&lt;60000,"40K-59K", IF(bike_buyers[[#This Row],[Income]]&lt;80000,"60K-79K", IF(bike_buyers[[#This Row],[Income]]&lt;100000,"80K-99K","100K+"))))</f>
        <v>Under 40K</v>
      </c>
      <c r="F275">
        <v>1</v>
      </c>
      <c r="G275" s="1" t="s">
        <v>12</v>
      </c>
      <c r="H275" s="1" t="s">
        <v>13</v>
      </c>
      <c r="I275" s="1" t="s">
        <v>14</v>
      </c>
      <c r="J275">
        <v>1</v>
      </c>
      <c r="K275" s="1" t="s">
        <v>22</v>
      </c>
      <c r="L275" s="1" t="s">
        <v>30</v>
      </c>
      <c r="M275">
        <v>53</v>
      </c>
      <c r="N275" s="1" t="str" cm="1">
        <f t="array" ref="N275">_xlfn.IFS(M275&lt;40, " Adult", M275&lt;60, "Middle Age", M275&gt;=60, "Older Adult")</f>
        <v>Middle Age</v>
      </c>
      <c r="O275" s="1" t="s">
        <v>14</v>
      </c>
      <c r="P275" s="1">
        <f>IF(O275="Yes", 1)</f>
        <v>1</v>
      </c>
      <c r="Q275" s="1"/>
    </row>
    <row r="276" spans="1:17" x14ac:dyDescent="0.25">
      <c r="A276">
        <v>18322</v>
      </c>
      <c r="B276" s="1" t="s">
        <v>34</v>
      </c>
      <c r="C276" s="1" t="s">
        <v>32</v>
      </c>
      <c r="D276" s="2">
        <v>30000</v>
      </c>
      <c r="E276" s="2" t="str">
        <f>IF(bike_buyers[[#This Row],[Income]]&lt;40000,"Under 40K", IF(bike_buyers[[#This Row],[Income]]&lt;60000,"40K-59K", IF(bike_buyers[[#This Row],[Income]]&lt;80000,"60K-79K", IF(bike_buyers[[#This Row],[Income]]&lt;100000,"80K-99K","100K+"))))</f>
        <v>Under 40K</v>
      </c>
      <c r="F276">
        <v>0</v>
      </c>
      <c r="G276" s="1" t="s">
        <v>28</v>
      </c>
      <c r="H276" s="1" t="s">
        <v>19</v>
      </c>
      <c r="I276" s="1" t="s">
        <v>17</v>
      </c>
      <c r="J276">
        <v>2</v>
      </c>
      <c r="K276" s="1" t="s">
        <v>15</v>
      </c>
      <c r="L276" s="1" t="s">
        <v>30</v>
      </c>
      <c r="M276">
        <v>26</v>
      </c>
      <c r="N276" s="1" t="str" cm="1">
        <f t="array" ref="N276">_xlfn.IFS(M276&lt;40, " Adult", M276&lt;60, "Middle Age", M276&gt;=60, "Older Adult")</f>
        <v xml:space="preserve"> Adult</v>
      </c>
      <c r="O276" s="1" t="s">
        <v>17</v>
      </c>
      <c r="P276" s="1" t="b">
        <f>IF(O276="Yes", 1)</f>
        <v>0</v>
      </c>
      <c r="Q276" s="1"/>
    </row>
    <row r="277" spans="1:17" x14ac:dyDescent="0.25">
      <c r="A277">
        <v>14872</v>
      </c>
      <c r="B277" s="1" t="s">
        <v>31</v>
      </c>
      <c r="C277" s="1" t="s">
        <v>32</v>
      </c>
      <c r="D277" s="2">
        <v>30000</v>
      </c>
      <c r="E277" s="2" t="str">
        <f>IF(bike_buyers[[#This Row],[Income]]&lt;40000,"Under 40K", IF(bike_buyers[[#This Row],[Income]]&lt;60000,"40K-59K", IF(bike_buyers[[#This Row],[Income]]&lt;80000,"60K-79K", IF(bike_buyers[[#This Row],[Income]]&lt;100000,"80K-99K","100K+"))))</f>
        <v>Under 40K</v>
      </c>
      <c r="F277">
        <v>0</v>
      </c>
      <c r="G277" s="1" t="s">
        <v>29</v>
      </c>
      <c r="H277" s="1" t="s">
        <v>13</v>
      </c>
      <c r="I277" s="1" t="s">
        <v>14</v>
      </c>
      <c r="J277">
        <v>0</v>
      </c>
      <c r="K277" s="1" t="s">
        <v>15</v>
      </c>
      <c r="L277" s="1" t="s">
        <v>30</v>
      </c>
      <c r="M277">
        <v>32</v>
      </c>
      <c r="N277" s="1" t="str" cm="1">
        <f t="array" ref="N277">_xlfn.IFS(M277&lt;40, " Adult", M277&lt;60, "Middle Age", M277&gt;=60, "Older Adult")</f>
        <v xml:space="preserve"> Adult</v>
      </c>
      <c r="O277" s="1" t="s">
        <v>17</v>
      </c>
      <c r="P277" s="1" t="b">
        <f>IF(O277="Yes", 1)</f>
        <v>0</v>
      </c>
      <c r="Q277" s="1"/>
    </row>
    <row r="278" spans="1:17" x14ac:dyDescent="0.25">
      <c r="A278">
        <v>23801</v>
      </c>
      <c r="B278" s="1" t="s">
        <v>31</v>
      </c>
      <c r="C278" s="1" t="s">
        <v>33</v>
      </c>
      <c r="D278" s="2">
        <v>20000</v>
      </c>
      <c r="E278" s="2" t="str">
        <f>IF(bike_buyers[[#This Row],[Income]]&lt;40000,"Under 40K", IF(bike_buyers[[#This Row],[Income]]&lt;60000,"40K-59K", IF(bike_buyers[[#This Row],[Income]]&lt;80000,"60K-79K", IF(bike_buyers[[#This Row],[Income]]&lt;100000,"80K-99K","100K+"))))</f>
        <v>Under 40K</v>
      </c>
      <c r="F278">
        <v>2</v>
      </c>
      <c r="G278" s="1" t="s">
        <v>28</v>
      </c>
      <c r="H278" s="1" t="s">
        <v>19</v>
      </c>
      <c r="I278" s="1" t="s">
        <v>14</v>
      </c>
      <c r="J278">
        <v>2</v>
      </c>
      <c r="K278" s="1" t="s">
        <v>15</v>
      </c>
      <c r="L278" s="1" t="s">
        <v>30</v>
      </c>
      <c r="M278">
        <v>49</v>
      </c>
      <c r="N278" s="1" t="str" cm="1">
        <f t="array" ref="N278">_xlfn.IFS(M278&lt;40, " Adult", M278&lt;60, "Middle Age", M278&gt;=60, "Older Adult")</f>
        <v>Middle Age</v>
      </c>
      <c r="O278" s="1" t="s">
        <v>17</v>
      </c>
      <c r="P278" s="1" t="b">
        <f>IF(O278="Yes", 1)</f>
        <v>0</v>
      </c>
      <c r="Q278" s="1"/>
    </row>
    <row r="279" spans="1:17" x14ac:dyDescent="0.25">
      <c r="A279">
        <v>12029</v>
      </c>
      <c r="B279" s="1" t="s">
        <v>31</v>
      </c>
      <c r="C279" s="1" t="s">
        <v>32</v>
      </c>
      <c r="D279" s="2">
        <v>30000</v>
      </c>
      <c r="E279" s="2" t="str">
        <f>IF(bike_buyers[[#This Row],[Income]]&lt;40000,"Under 40K", IF(bike_buyers[[#This Row],[Income]]&lt;60000,"40K-59K", IF(bike_buyers[[#This Row],[Income]]&lt;80000,"60K-79K", IF(bike_buyers[[#This Row],[Income]]&lt;100000,"80K-99K","100K+"))))</f>
        <v>Under 40K</v>
      </c>
      <c r="F279">
        <v>0</v>
      </c>
      <c r="G279" s="1" t="s">
        <v>28</v>
      </c>
      <c r="H279" s="1" t="s">
        <v>19</v>
      </c>
      <c r="I279" s="1" t="s">
        <v>17</v>
      </c>
      <c r="J279">
        <v>2</v>
      </c>
      <c r="K279" s="1" t="s">
        <v>15</v>
      </c>
      <c r="L279" s="1" t="s">
        <v>30</v>
      </c>
      <c r="M279">
        <v>28</v>
      </c>
      <c r="N279" s="1" t="str" cm="1">
        <f t="array" ref="N279">_xlfn.IFS(M279&lt;40, " Adult", M279&lt;60, "Middle Age", M279&gt;=60, "Older Adult")</f>
        <v xml:space="preserve"> Adult</v>
      </c>
      <c r="O279" s="1" t="s">
        <v>17</v>
      </c>
      <c r="P279" s="1" t="b">
        <f>IF(O279="Yes", 1)</f>
        <v>0</v>
      </c>
      <c r="Q279" s="1"/>
    </row>
    <row r="280" spans="1:17" x14ac:dyDescent="0.25">
      <c r="A280">
        <v>20754</v>
      </c>
      <c r="B280" s="1" t="s">
        <v>31</v>
      </c>
      <c r="C280" s="1" t="s">
        <v>32</v>
      </c>
      <c r="D280" s="2">
        <v>30000</v>
      </c>
      <c r="E280" s="2" t="str">
        <f>IF(bike_buyers[[#This Row],[Income]]&lt;40000,"Under 40K", IF(bike_buyers[[#This Row],[Income]]&lt;60000,"40K-59K", IF(bike_buyers[[#This Row],[Income]]&lt;80000,"60K-79K", IF(bike_buyers[[#This Row],[Income]]&lt;100000,"80K-99K","100K+"))))</f>
        <v>Under 40K</v>
      </c>
      <c r="F280">
        <v>2</v>
      </c>
      <c r="G280" s="1" t="s">
        <v>26</v>
      </c>
      <c r="H280" s="1" t="s">
        <v>13</v>
      </c>
      <c r="I280" s="1" t="s">
        <v>14</v>
      </c>
      <c r="J280">
        <v>2</v>
      </c>
      <c r="K280" s="1" t="s">
        <v>25</v>
      </c>
      <c r="L280" s="1" t="s">
        <v>30</v>
      </c>
      <c r="M280">
        <v>51</v>
      </c>
      <c r="N280" s="1" t="str" cm="1">
        <f t="array" ref="N280">_xlfn.IFS(M280&lt;40, " Adult", M280&lt;60, "Middle Age", M280&gt;=60, "Older Adult")</f>
        <v>Middle Age</v>
      </c>
      <c r="O280" s="1" t="s">
        <v>17</v>
      </c>
      <c r="P280" s="1" t="b">
        <f>IF(O280="Yes", 1)</f>
        <v>0</v>
      </c>
      <c r="Q280" s="1"/>
    </row>
    <row r="281" spans="1:17" x14ac:dyDescent="0.25">
      <c r="A281">
        <v>18329</v>
      </c>
      <c r="B281" s="1" t="s">
        <v>34</v>
      </c>
      <c r="C281" s="1" t="s">
        <v>32</v>
      </c>
      <c r="D281" s="2">
        <v>30000</v>
      </c>
      <c r="E281" s="2" t="str">
        <f>IF(bike_buyers[[#This Row],[Income]]&lt;40000,"Under 40K", IF(bike_buyers[[#This Row],[Income]]&lt;60000,"40K-59K", IF(bike_buyers[[#This Row],[Income]]&lt;80000,"60K-79K", IF(bike_buyers[[#This Row],[Income]]&lt;100000,"80K-99K","100K+"))))</f>
        <v>Under 40K</v>
      </c>
      <c r="F281">
        <v>0</v>
      </c>
      <c r="G281" s="1" t="s">
        <v>28</v>
      </c>
      <c r="H281" s="1" t="s">
        <v>19</v>
      </c>
      <c r="I281" s="1" t="s">
        <v>17</v>
      </c>
      <c r="J281">
        <v>2</v>
      </c>
      <c r="K281" s="1" t="s">
        <v>22</v>
      </c>
      <c r="L281" s="1" t="s">
        <v>30</v>
      </c>
      <c r="M281">
        <v>27</v>
      </c>
      <c r="N281" s="1" t="str" cm="1">
        <f t="array" ref="N281">_xlfn.IFS(M281&lt;40, " Adult", M281&lt;60, "Middle Age", M281&gt;=60, "Older Adult")</f>
        <v xml:space="preserve"> Adult</v>
      </c>
      <c r="O281" s="1" t="s">
        <v>17</v>
      </c>
      <c r="P281" s="1" t="b">
        <f>IF(O281="Yes", 1)</f>
        <v>0</v>
      </c>
      <c r="Q281" s="1"/>
    </row>
    <row r="282" spans="1:17" x14ac:dyDescent="0.25">
      <c r="A282">
        <v>14887</v>
      </c>
      <c r="B282" s="1" t="s">
        <v>31</v>
      </c>
      <c r="C282" s="1" t="s">
        <v>33</v>
      </c>
      <c r="D282" s="2">
        <v>30000</v>
      </c>
      <c r="E282" s="2" t="str">
        <f>IF(bike_buyers[[#This Row],[Income]]&lt;40000,"Under 40K", IF(bike_buyers[[#This Row],[Income]]&lt;60000,"40K-59K", IF(bike_buyers[[#This Row],[Income]]&lt;80000,"60K-79K", IF(bike_buyers[[#This Row],[Income]]&lt;100000,"80K-99K","100K+"))))</f>
        <v>Under 40K</v>
      </c>
      <c r="F282">
        <v>1</v>
      </c>
      <c r="G282" s="1" t="s">
        <v>26</v>
      </c>
      <c r="H282" s="1" t="s">
        <v>19</v>
      </c>
      <c r="I282" s="1" t="s">
        <v>14</v>
      </c>
      <c r="J282">
        <v>1</v>
      </c>
      <c r="K282" s="1" t="s">
        <v>22</v>
      </c>
      <c r="L282" s="1" t="s">
        <v>30</v>
      </c>
      <c r="M282">
        <v>52</v>
      </c>
      <c r="N282" s="1" t="str" cm="1">
        <f t="array" ref="N282">_xlfn.IFS(M282&lt;40, " Adult", M282&lt;60, "Middle Age", M282&gt;=60, "Older Adult")</f>
        <v>Middle Age</v>
      </c>
      <c r="O282" s="1" t="s">
        <v>17</v>
      </c>
      <c r="P282" s="1" t="b">
        <f>IF(O282="Yes", 1)</f>
        <v>0</v>
      </c>
      <c r="Q282" s="1"/>
    </row>
    <row r="283" spans="1:17" x14ac:dyDescent="0.25">
      <c r="A283">
        <v>14332</v>
      </c>
      <c r="B283" s="1" t="s">
        <v>34</v>
      </c>
      <c r="C283" s="1" t="s">
        <v>33</v>
      </c>
      <c r="D283" s="2">
        <v>30000</v>
      </c>
      <c r="E283" s="2" t="str">
        <f>IF(bike_buyers[[#This Row],[Income]]&lt;40000,"Under 40K", IF(bike_buyers[[#This Row],[Income]]&lt;60000,"40K-59K", IF(bike_buyers[[#This Row],[Income]]&lt;80000,"60K-79K", IF(bike_buyers[[#This Row],[Income]]&lt;100000,"80K-99K","100K+"))))</f>
        <v>Under 40K</v>
      </c>
      <c r="F283">
        <v>0</v>
      </c>
      <c r="G283" s="1" t="s">
        <v>26</v>
      </c>
      <c r="H283" s="1" t="s">
        <v>13</v>
      </c>
      <c r="I283" s="1" t="s">
        <v>17</v>
      </c>
      <c r="J283">
        <v>2</v>
      </c>
      <c r="K283" s="1" t="s">
        <v>22</v>
      </c>
      <c r="L283" s="1" t="s">
        <v>30</v>
      </c>
      <c r="M283">
        <v>26</v>
      </c>
      <c r="N283" s="1" t="str" cm="1">
        <f t="array" ref="N283">_xlfn.IFS(M283&lt;40, " Adult", M283&lt;60, "Middle Age", M283&gt;=60, "Older Adult")</f>
        <v xml:space="preserve"> Adult</v>
      </c>
      <c r="O283" s="1" t="s">
        <v>17</v>
      </c>
      <c r="P283" s="1" t="b">
        <f>IF(O283="Yes", 1)</f>
        <v>0</v>
      </c>
      <c r="Q283" s="1"/>
    </row>
    <row r="284" spans="1:17" x14ac:dyDescent="0.25">
      <c r="A284">
        <v>14177</v>
      </c>
      <c r="B284" s="1" t="s">
        <v>31</v>
      </c>
      <c r="C284" s="1" t="s">
        <v>32</v>
      </c>
      <c r="D284" s="2">
        <v>80000</v>
      </c>
      <c r="E284" s="2" t="str">
        <f>IF(bike_buyers[[#This Row],[Income]]&lt;40000,"Under 40K", IF(bike_buyers[[#This Row],[Income]]&lt;60000,"40K-59K", IF(bike_buyers[[#This Row],[Income]]&lt;80000,"60K-79K", IF(bike_buyers[[#This Row],[Income]]&lt;100000,"80K-99K","100K+"))))</f>
        <v>80K-99K</v>
      </c>
      <c r="F284">
        <v>5</v>
      </c>
      <c r="G284" s="1" t="s">
        <v>18</v>
      </c>
      <c r="H284" s="1" t="s">
        <v>20</v>
      </c>
      <c r="I284" s="1" t="s">
        <v>17</v>
      </c>
      <c r="J284">
        <v>2</v>
      </c>
      <c r="K284" s="1" t="s">
        <v>21</v>
      </c>
      <c r="L284" s="1" t="s">
        <v>16</v>
      </c>
      <c r="M284">
        <v>60</v>
      </c>
      <c r="N284" s="1" t="str" cm="1">
        <f t="array" ref="N284">_xlfn.IFS(M284&lt;40, " Adult", M284&lt;60, "Middle Age", M284&gt;=60, "Older Adult")</f>
        <v>Older Adult</v>
      </c>
      <c r="O284" s="1" t="s">
        <v>17</v>
      </c>
      <c r="P284" s="1" t="b">
        <f>IF(O284="Yes", 1)</f>
        <v>0</v>
      </c>
      <c r="Q284" s="1"/>
    </row>
    <row r="285" spans="1:17" x14ac:dyDescent="0.25">
      <c r="A285">
        <v>12697</v>
      </c>
      <c r="B285" s="1" t="s">
        <v>34</v>
      </c>
      <c r="C285" s="1" t="s">
        <v>33</v>
      </c>
      <c r="D285" s="2">
        <v>90000</v>
      </c>
      <c r="E285" s="2" t="str">
        <f>IF(bike_buyers[[#This Row],[Income]]&lt;40000,"Under 40K", IF(bike_buyers[[#This Row],[Income]]&lt;60000,"40K-59K", IF(bike_buyers[[#This Row],[Income]]&lt;80000,"60K-79K", IF(bike_buyers[[#This Row],[Income]]&lt;100000,"80K-99K","100K+"))))</f>
        <v>80K-99K</v>
      </c>
      <c r="F285">
        <v>0</v>
      </c>
      <c r="G285" s="1" t="s">
        <v>12</v>
      </c>
      <c r="H285" s="1" t="s">
        <v>20</v>
      </c>
      <c r="I285" s="1" t="s">
        <v>17</v>
      </c>
      <c r="J285">
        <v>4</v>
      </c>
      <c r="K285" s="1" t="s">
        <v>62</v>
      </c>
      <c r="L285" s="1" t="s">
        <v>23</v>
      </c>
      <c r="M285">
        <v>36</v>
      </c>
      <c r="N285" s="1" t="str" cm="1">
        <f t="array" ref="N285">_xlfn.IFS(M285&lt;40, " Adult", M285&lt;60, "Middle Age", M285&gt;=60, "Older Adult")</f>
        <v xml:space="preserve"> Adult</v>
      </c>
      <c r="O285" s="1" t="s">
        <v>17</v>
      </c>
      <c r="P285" s="1" t="b">
        <f>IF(O285="Yes", 1)</f>
        <v>0</v>
      </c>
      <c r="Q285" s="1"/>
    </row>
    <row r="286" spans="1:17" x14ac:dyDescent="0.25">
      <c r="A286">
        <v>21564</v>
      </c>
      <c r="B286" s="1" t="s">
        <v>34</v>
      </c>
      <c r="C286" s="1" t="s">
        <v>33</v>
      </c>
      <c r="D286" s="2">
        <v>80000</v>
      </c>
      <c r="E286" s="2" t="str">
        <f>IF(bike_buyers[[#This Row],[Income]]&lt;40000,"Under 40K", IF(bike_buyers[[#This Row],[Income]]&lt;60000,"40K-59K", IF(bike_buyers[[#This Row],[Income]]&lt;80000,"60K-79K", IF(bike_buyers[[#This Row],[Income]]&lt;100000,"80K-99K","100K+"))))</f>
        <v>80K-99K</v>
      </c>
      <c r="F286">
        <v>0</v>
      </c>
      <c r="G286" s="1" t="s">
        <v>12</v>
      </c>
      <c r="H286" s="1" t="s">
        <v>20</v>
      </c>
      <c r="I286" s="1" t="s">
        <v>14</v>
      </c>
      <c r="J286">
        <v>4</v>
      </c>
      <c r="K286" s="1" t="s">
        <v>62</v>
      </c>
      <c r="L286" s="1" t="s">
        <v>23</v>
      </c>
      <c r="M286">
        <v>35</v>
      </c>
      <c r="N286" s="1" t="str" cm="1">
        <f t="array" ref="N286">_xlfn.IFS(M286&lt;40, " Adult", M286&lt;60, "Middle Age", M286&gt;=60, "Older Adult")</f>
        <v xml:space="preserve"> Adult</v>
      </c>
      <c r="O286" s="1" t="s">
        <v>17</v>
      </c>
      <c r="P286" s="1" t="b">
        <f>IF(O286="Yes", 1)</f>
        <v>0</v>
      </c>
      <c r="Q286" s="1"/>
    </row>
    <row r="287" spans="1:17" x14ac:dyDescent="0.25">
      <c r="A287">
        <v>26412</v>
      </c>
      <c r="B287" s="1" t="s">
        <v>31</v>
      </c>
      <c r="C287" s="1" t="s">
        <v>33</v>
      </c>
      <c r="D287" s="2">
        <v>80000</v>
      </c>
      <c r="E287" s="2" t="str">
        <f>IF(bike_buyers[[#This Row],[Income]]&lt;40000,"Under 40K", IF(bike_buyers[[#This Row],[Income]]&lt;60000,"40K-59K", IF(bike_buyers[[#This Row],[Income]]&lt;80000,"60K-79K", IF(bike_buyers[[#This Row],[Income]]&lt;100000,"80K-99K","100K+"))))</f>
        <v>80K-99K</v>
      </c>
      <c r="F287">
        <v>5</v>
      </c>
      <c r="G287" s="1" t="s">
        <v>26</v>
      </c>
      <c r="H287" s="1" t="s">
        <v>27</v>
      </c>
      <c r="I287" s="1" t="s">
        <v>17</v>
      </c>
      <c r="J287">
        <v>3</v>
      </c>
      <c r="K287" s="1" t="s">
        <v>22</v>
      </c>
      <c r="L287" s="1" t="s">
        <v>16</v>
      </c>
      <c r="M287">
        <v>56</v>
      </c>
      <c r="N287" s="1" t="str" cm="1">
        <f t="array" ref="N287">_xlfn.IFS(M287&lt;40, " Adult", M287&lt;60, "Middle Age", M287&gt;=60, "Older Adult")</f>
        <v>Middle Age</v>
      </c>
      <c r="O287" s="1" t="s">
        <v>17</v>
      </c>
      <c r="P287" s="1" t="b">
        <f>IF(O287="Yes", 1)</f>
        <v>0</v>
      </c>
      <c r="Q287" s="1"/>
    </row>
    <row r="288" spans="1:17" x14ac:dyDescent="0.25">
      <c r="A288">
        <v>18484</v>
      </c>
      <c r="B288" s="1" t="s">
        <v>34</v>
      </c>
      <c r="C288" s="1" t="s">
        <v>32</v>
      </c>
      <c r="D288" s="2">
        <v>80000</v>
      </c>
      <c r="E288" s="2" t="str">
        <f>IF(bike_buyers[[#This Row],[Income]]&lt;40000,"Under 40K", IF(bike_buyers[[#This Row],[Income]]&lt;60000,"40K-59K", IF(bike_buyers[[#This Row],[Income]]&lt;80000,"60K-79K", IF(bike_buyers[[#This Row],[Income]]&lt;100000,"80K-99K","100K+"))))</f>
        <v>80K-99K</v>
      </c>
      <c r="F288">
        <v>2</v>
      </c>
      <c r="G288" s="1" t="s">
        <v>26</v>
      </c>
      <c r="H288" s="1" t="s">
        <v>13</v>
      </c>
      <c r="I288" s="1" t="s">
        <v>17</v>
      </c>
      <c r="J288">
        <v>2</v>
      </c>
      <c r="K288" s="1" t="s">
        <v>25</v>
      </c>
      <c r="L288" s="1" t="s">
        <v>23</v>
      </c>
      <c r="M288">
        <v>50</v>
      </c>
      <c r="N288" s="1" t="str" cm="1">
        <f t="array" ref="N288">_xlfn.IFS(M288&lt;40, " Adult", M288&lt;60, "Middle Age", M288&gt;=60, "Older Adult")</f>
        <v>Middle Age</v>
      </c>
      <c r="O288" s="1" t="s">
        <v>14</v>
      </c>
      <c r="P288" s="1">
        <f>IF(O288="Yes", 1)</f>
        <v>1</v>
      </c>
      <c r="Q288" s="1"/>
    </row>
    <row r="289" spans="1:17" x14ac:dyDescent="0.25">
      <c r="A289">
        <v>12291</v>
      </c>
      <c r="B289" s="1" t="s">
        <v>34</v>
      </c>
      <c r="C289" s="1" t="s">
        <v>32</v>
      </c>
      <c r="D289" s="2">
        <v>90000</v>
      </c>
      <c r="E289" s="2" t="str">
        <f>IF(bike_buyers[[#This Row],[Income]]&lt;40000,"Under 40K", IF(bike_buyers[[#This Row],[Income]]&lt;60000,"40K-59K", IF(bike_buyers[[#This Row],[Income]]&lt;80000,"60K-79K", IF(bike_buyers[[#This Row],[Income]]&lt;100000,"80K-99K","100K+"))))</f>
        <v>80K-99K</v>
      </c>
      <c r="F289">
        <v>5</v>
      </c>
      <c r="G289" s="1" t="s">
        <v>18</v>
      </c>
      <c r="H289" s="1" t="s">
        <v>20</v>
      </c>
      <c r="I289" s="1" t="s">
        <v>17</v>
      </c>
      <c r="J289">
        <v>2</v>
      </c>
      <c r="K289" s="1" t="s">
        <v>21</v>
      </c>
      <c r="L289" s="1" t="s">
        <v>16</v>
      </c>
      <c r="M289">
        <v>62</v>
      </c>
      <c r="N289" s="1" t="str" cm="1">
        <f t="array" ref="N289">_xlfn.IFS(M289&lt;40, " Adult", M289&lt;60, "Middle Age", M289&gt;=60, "Older Adult")</f>
        <v>Older Adult</v>
      </c>
      <c r="O289" s="1" t="s">
        <v>14</v>
      </c>
      <c r="P289" s="1">
        <f>IF(O289="Yes", 1)</f>
        <v>1</v>
      </c>
      <c r="Q289" s="1"/>
    </row>
    <row r="290" spans="1:17" x14ac:dyDescent="0.25">
      <c r="A290">
        <v>20619</v>
      </c>
      <c r="B290" s="1" t="s">
        <v>34</v>
      </c>
      <c r="C290" s="1" t="s">
        <v>32</v>
      </c>
      <c r="D290" s="2">
        <v>80000</v>
      </c>
      <c r="E290" s="2" t="str">
        <f>IF(bike_buyers[[#This Row],[Income]]&lt;40000,"Under 40K", IF(bike_buyers[[#This Row],[Income]]&lt;60000,"40K-59K", IF(bike_buyers[[#This Row],[Income]]&lt;80000,"60K-79K", IF(bike_buyers[[#This Row],[Income]]&lt;100000,"80K-99K","100K+"))))</f>
        <v>80K-99K</v>
      </c>
      <c r="F290">
        <v>0</v>
      </c>
      <c r="G290" s="1" t="s">
        <v>12</v>
      </c>
      <c r="H290" s="1" t="s">
        <v>20</v>
      </c>
      <c r="I290" s="1" t="s">
        <v>17</v>
      </c>
      <c r="J290">
        <v>4</v>
      </c>
      <c r="K290" s="1" t="s">
        <v>62</v>
      </c>
      <c r="L290" s="1" t="s">
        <v>23</v>
      </c>
      <c r="M290">
        <v>35</v>
      </c>
      <c r="N290" s="1" t="str" cm="1">
        <f t="array" ref="N290">_xlfn.IFS(M290&lt;40, " Adult", M290&lt;60, "Middle Age", M290&gt;=60, "Older Adult")</f>
        <v xml:space="preserve"> Adult</v>
      </c>
      <c r="O290" s="1" t="s">
        <v>17</v>
      </c>
      <c r="P290" s="1" t="b">
        <f>IF(O290="Yes", 1)</f>
        <v>0</v>
      </c>
      <c r="Q290" s="1"/>
    </row>
    <row r="291" spans="1:17" x14ac:dyDescent="0.25">
      <c r="A291">
        <v>24871</v>
      </c>
      <c r="B291" s="1" t="s">
        <v>34</v>
      </c>
      <c r="C291" s="1" t="s">
        <v>33</v>
      </c>
      <c r="D291" s="2">
        <v>90000</v>
      </c>
      <c r="E291" s="2" t="str">
        <f>IF(bike_buyers[[#This Row],[Income]]&lt;40000,"Under 40K", IF(bike_buyers[[#This Row],[Income]]&lt;60000,"40K-59K", IF(bike_buyers[[#This Row],[Income]]&lt;80000,"60K-79K", IF(bike_buyers[[#This Row],[Income]]&lt;100000,"80K-99K","100K+"))))</f>
        <v>80K-99K</v>
      </c>
      <c r="F291">
        <v>4</v>
      </c>
      <c r="G291" s="1" t="s">
        <v>26</v>
      </c>
      <c r="H291" s="1" t="s">
        <v>27</v>
      </c>
      <c r="I291" s="1" t="s">
        <v>17</v>
      </c>
      <c r="J291">
        <v>3</v>
      </c>
      <c r="K291" s="1" t="s">
        <v>22</v>
      </c>
      <c r="L291" s="1" t="s">
        <v>16</v>
      </c>
      <c r="M291">
        <v>56</v>
      </c>
      <c r="N291" s="1" t="str" cm="1">
        <f t="array" ref="N291">_xlfn.IFS(M291&lt;40, " Adult", M291&lt;60, "Middle Age", M291&gt;=60, "Older Adult")</f>
        <v>Middle Age</v>
      </c>
      <c r="O291" s="1" t="s">
        <v>17</v>
      </c>
      <c r="P291" s="1" t="b">
        <f>IF(O291="Yes", 1)</f>
        <v>0</v>
      </c>
      <c r="Q291" s="1"/>
    </row>
    <row r="292" spans="1:17" x14ac:dyDescent="0.25">
      <c r="A292">
        <v>28906</v>
      </c>
      <c r="B292" s="1" t="s">
        <v>31</v>
      </c>
      <c r="C292" s="1" t="s">
        <v>32</v>
      </c>
      <c r="D292" s="2">
        <v>80000</v>
      </c>
      <c r="E292" s="2" t="str">
        <f>IF(bike_buyers[[#This Row],[Income]]&lt;40000,"Under 40K", IF(bike_buyers[[#This Row],[Income]]&lt;60000,"40K-59K", IF(bike_buyers[[#This Row],[Income]]&lt;80000,"60K-79K", IF(bike_buyers[[#This Row],[Income]]&lt;100000,"80K-99K","100K+"))))</f>
        <v>80K-99K</v>
      </c>
      <c r="F292">
        <v>4</v>
      </c>
      <c r="G292" s="1" t="s">
        <v>26</v>
      </c>
      <c r="H292" s="1" t="s">
        <v>20</v>
      </c>
      <c r="I292" s="1" t="s">
        <v>14</v>
      </c>
      <c r="J292">
        <v>2</v>
      </c>
      <c r="K292" s="1" t="s">
        <v>62</v>
      </c>
      <c r="L292" s="1" t="s">
        <v>16</v>
      </c>
      <c r="M292">
        <v>54</v>
      </c>
      <c r="N292" s="1" t="str" cm="1">
        <f t="array" ref="N292">_xlfn.IFS(M292&lt;40, " Adult", M292&lt;60, "Middle Age", M292&gt;=60, "Older Adult")</f>
        <v>Middle Age</v>
      </c>
      <c r="O292" s="1" t="s">
        <v>17</v>
      </c>
      <c r="P292" s="1" t="b">
        <f>IF(O292="Yes", 1)</f>
        <v>0</v>
      </c>
      <c r="Q292" s="1"/>
    </row>
    <row r="293" spans="1:17" x14ac:dyDescent="0.25">
      <c r="A293">
        <v>27969</v>
      </c>
      <c r="B293" s="1" t="s">
        <v>31</v>
      </c>
      <c r="C293" s="1" t="s">
        <v>32</v>
      </c>
      <c r="D293" s="2">
        <v>80000</v>
      </c>
      <c r="E293" s="2" t="str">
        <f>IF(bike_buyers[[#This Row],[Income]]&lt;40000,"Under 40K", IF(bike_buyers[[#This Row],[Income]]&lt;60000,"40K-59K", IF(bike_buyers[[#This Row],[Income]]&lt;80000,"60K-79K", IF(bike_buyers[[#This Row],[Income]]&lt;100000,"80K-99K","100K+"))))</f>
        <v>80K-99K</v>
      </c>
      <c r="F293">
        <v>0</v>
      </c>
      <c r="G293" s="1" t="s">
        <v>12</v>
      </c>
      <c r="H293" s="1" t="s">
        <v>20</v>
      </c>
      <c r="I293" s="1" t="s">
        <v>14</v>
      </c>
      <c r="J293">
        <v>2</v>
      </c>
      <c r="K293" s="1" t="s">
        <v>62</v>
      </c>
      <c r="L293" s="1" t="s">
        <v>23</v>
      </c>
      <c r="M293">
        <v>29</v>
      </c>
      <c r="N293" s="1" t="str" cm="1">
        <f t="array" ref="N293">_xlfn.IFS(M293&lt;40, " Adult", M293&lt;60, "Middle Age", M293&gt;=60, "Older Adult")</f>
        <v xml:space="preserve"> Adult</v>
      </c>
      <c r="O293" s="1" t="s">
        <v>14</v>
      </c>
      <c r="P293" s="1">
        <f>IF(O293="Yes", 1)</f>
        <v>1</v>
      </c>
      <c r="Q293" s="1"/>
    </row>
    <row r="294" spans="1:17" x14ac:dyDescent="0.25">
      <c r="A294">
        <v>15752</v>
      </c>
      <c r="B294" s="1" t="s">
        <v>31</v>
      </c>
      <c r="C294" s="1" t="s">
        <v>32</v>
      </c>
      <c r="D294" s="2">
        <v>80000</v>
      </c>
      <c r="E294" s="2" t="str">
        <f>IF(bike_buyers[[#This Row],[Income]]&lt;40000,"Under 40K", IF(bike_buyers[[#This Row],[Income]]&lt;60000,"40K-59K", IF(bike_buyers[[#This Row],[Income]]&lt;80000,"60K-79K", IF(bike_buyers[[#This Row],[Income]]&lt;100000,"80K-99K","100K+"))))</f>
        <v>80K-99K</v>
      </c>
      <c r="F294">
        <v>2</v>
      </c>
      <c r="G294" s="1" t="s">
        <v>26</v>
      </c>
      <c r="H294" s="1" t="s">
        <v>13</v>
      </c>
      <c r="I294" s="1" t="s">
        <v>17</v>
      </c>
      <c r="J294">
        <v>2</v>
      </c>
      <c r="K294" s="1" t="s">
        <v>25</v>
      </c>
      <c r="L294" s="1" t="s">
        <v>23</v>
      </c>
      <c r="M294">
        <v>50</v>
      </c>
      <c r="N294" s="1" t="str" cm="1">
        <f t="array" ref="N294">_xlfn.IFS(M294&lt;40, " Adult", M294&lt;60, "Middle Age", M294&gt;=60, "Older Adult")</f>
        <v>Middle Age</v>
      </c>
      <c r="O294" s="1" t="s">
        <v>14</v>
      </c>
      <c r="P294" s="1">
        <f>IF(O294="Yes", 1)</f>
        <v>1</v>
      </c>
      <c r="Q294" s="1"/>
    </row>
    <row r="295" spans="1:17" x14ac:dyDescent="0.25">
      <c r="A295">
        <v>19608</v>
      </c>
      <c r="B295" s="1" t="s">
        <v>31</v>
      </c>
      <c r="C295" s="1" t="s">
        <v>32</v>
      </c>
      <c r="D295" s="2">
        <v>80000</v>
      </c>
      <c r="E295" s="2" t="str">
        <f>IF(bike_buyers[[#This Row],[Income]]&lt;40000,"Under 40K", IF(bike_buyers[[#This Row],[Income]]&lt;60000,"40K-59K", IF(bike_buyers[[#This Row],[Income]]&lt;80000,"60K-79K", IF(bike_buyers[[#This Row],[Income]]&lt;100000,"80K-99K","100K+"))))</f>
        <v>80K-99K</v>
      </c>
      <c r="F295">
        <v>5</v>
      </c>
      <c r="G295" s="1" t="s">
        <v>12</v>
      </c>
      <c r="H295" s="1" t="s">
        <v>20</v>
      </c>
      <c r="I295" s="1" t="s">
        <v>14</v>
      </c>
      <c r="J295">
        <v>4</v>
      </c>
      <c r="K295" s="1" t="s">
        <v>25</v>
      </c>
      <c r="L295" s="1" t="s">
        <v>23</v>
      </c>
      <c r="M295">
        <v>40</v>
      </c>
      <c r="N295" s="1" t="str" cm="1">
        <f t="array" ref="N295">_xlfn.IFS(M295&lt;40, " Adult", M295&lt;60, "Middle Age", M295&gt;=60, "Older Adult")</f>
        <v>Middle Age</v>
      </c>
      <c r="O295" s="1" t="s">
        <v>17</v>
      </c>
      <c r="P295" s="1" t="b">
        <f>IF(O295="Yes", 1)</f>
        <v>0</v>
      </c>
      <c r="Q295" s="1"/>
    </row>
    <row r="296" spans="1:17" x14ac:dyDescent="0.25">
      <c r="A296">
        <v>17197</v>
      </c>
      <c r="B296" s="1" t="s">
        <v>34</v>
      </c>
      <c r="C296" s="1" t="s">
        <v>33</v>
      </c>
      <c r="D296" s="2">
        <v>90000</v>
      </c>
      <c r="E296" s="2" t="str">
        <f>IF(bike_buyers[[#This Row],[Income]]&lt;40000,"Under 40K", IF(bike_buyers[[#This Row],[Income]]&lt;60000,"40K-59K", IF(bike_buyers[[#This Row],[Income]]&lt;80000,"60K-79K", IF(bike_buyers[[#This Row],[Income]]&lt;100000,"80K-99K","100K+"))))</f>
        <v>80K-99K</v>
      </c>
      <c r="F296">
        <v>5</v>
      </c>
      <c r="G296" s="1" t="s">
        <v>18</v>
      </c>
      <c r="H296" s="1" t="s">
        <v>20</v>
      </c>
      <c r="I296" s="1" t="s">
        <v>14</v>
      </c>
      <c r="J296">
        <v>2</v>
      </c>
      <c r="K296" s="1" t="s">
        <v>62</v>
      </c>
      <c r="L296" s="1" t="s">
        <v>16</v>
      </c>
      <c r="M296">
        <v>62</v>
      </c>
      <c r="N296" s="1" t="str" cm="1">
        <f t="array" ref="N296">_xlfn.IFS(M296&lt;40, " Adult", M296&lt;60, "Middle Age", M296&gt;=60, "Older Adult")</f>
        <v>Older Adult</v>
      </c>
      <c r="O296" s="1" t="s">
        <v>17</v>
      </c>
      <c r="P296" s="1" t="b">
        <f>IF(O296="Yes", 1)</f>
        <v>0</v>
      </c>
      <c r="Q296" s="1"/>
    </row>
    <row r="297" spans="1:17" x14ac:dyDescent="0.25">
      <c r="A297">
        <v>19914</v>
      </c>
      <c r="B297" s="1" t="s">
        <v>31</v>
      </c>
      <c r="C297" s="1" t="s">
        <v>32</v>
      </c>
      <c r="D297" s="2">
        <v>80000</v>
      </c>
      <c r="E297" s="2" t="str">
        <f>IF(bike_buyers[[#This Row],[Income]]&lt;40000,"Under 40K", IF(bike_buyers[[#This Row],[Income]]&lt;60000,"40K-59K", IF(bike_buyers[[#This Row],[Income]]&lt;80000,"60K-79K", IF(bike_buyers[[#This Row],[Income]]&lt;100000,"80K-99K","100K+"))))</f>
        <v>80K-99K</v>
      </c>
      <c r="F297">
        <v>5</v>
      </c>
      <c r="G297" s="1" t="s">
        <v>12</v>
      </c>
      <c r="H297" s="1" t="s">
        <v>27</v>
      </c>
      <c r="I297" s="1" t="s">
        <v>14</v>
      </c>
      <c r="J297">
        <v>2</v>
      </c>
      <c r="K297" s="1" t="s">
        <v>21</v>
      </c>
      <c r="L297" s="1" t="s">
        <v>16</v>
      </c>
      <c r="M297">
        <v>62</v>
      </c>
      <c r="N297" s="1" t="str" cm="1">
        <f t="array" ref="N297">_xlfn.IFS(M297&lt;40, " Adult", M297&lt;60, "Middle Age", M297&gt;=60, "Older Adult")</f>
        <v>Older Adult</v>
      </c>
      <c r="O297" s="1" t="s">
        <v>17</v>
      </c>
      <c r="P297" s="1" t="b">
        <f>IF(O297="Yes", 1)</f>
        <v>0</v>
      </c>
      <c r="Q297" s="1"/>
    </row>
    <row r="298" spans="1:17" x14ac:dyDescent="0.25">
      <c r="A298">
        <v>12344</v>
      </c>
      <c r="B298" s="1" t="s">
        <v>34</v>
      </c>
      <c r="C298" s="1" t="s">
        <v>33</v>
      </c>
      <c r="D298" s="2">
        <v>80000</v>
      </c>
      <c r="E298" s="2" t="str">
        <f>IF(bike_buyers[[#This Row],[Income]]&lt;40000,"Under 40K", IF(bike_buyers[[#This Row],[Income]]&lt;60000,"40K-59K", IF(bike_buyers[[#This Row],[Income]]&lt;80000,"60K-79K", IF(bike_buyers[[#This Row],[Income]]&lt;100000,"80K-99K","100K+"))))</f>
        <v>80K-99K</v>
      </c>
      <c r="F298">
        <v>0</v>
      </c>
      <c r="G298" s="1" t="s">
        <v>12</v>
      </c>
      <c r="H298" s="1" t="s">
        <v>20</v>
      </c>
      <c r="I298" s="1" t="s">
        <v>17</v>
      </c>
      <c r="J298">
        <v>3</v>
      </c>
      <c r="K298" s="1" t="s">
        <v>62</v>
      </c>
      <c r="L298" s="1" t="s">
        <v>23</v>
      </c>
      <c r="M298">
        <v>31</v>
      </c>
      <c r="N298" s="1" t="str" cm="1">
        <f t="array" ref="N298">_xlfn.IFS(M298&lt;40, " Adult", M298&lt;60, "Middle Age", M298&gt;=60, "Older Adult")</f>
        <v xml:space="preserve"> Adult</v>
      </c>
      <c r="O298" s="1" t="s">
        <v>17</v>
      </c>
      <c r="P298" s="1" t="b">
        <f>IF(O298="Yes", 1)</f>
        <v>0</v>
      </c>
      <c r="Q298" s="1"/>
    </row>
    <row r="299" spans="1:17" x14ac:dyDescent="0.25">
      <c r="A299">
        <v>29301</v>
      </c>
      <c r="B299" s="1" t="s">
        <v>31</v>
      </c>
      <c r="C299" s="1" t="s">
        <v>32</v>
      </c>
      <c r="D299" s="2">
        <v>80000</v>
      </c>
      <c r="E299" s="2" t="str">
        <f>IF(bike_buyers[[#This Row],[Income]]&lt;40000,"Under 40K", IF(bike_buyers[[#This Row],[Income]]&lt;60000,"40K-59K", IF(bike_buyers[[#This Row],[Income]]&lt;80000,"60K-79K", IF(bike_buyers[[#This Row],[Income]]&lt;100000,"80K-99K","100K+"))))</f>
        <v>80K-99K</v>
      </c>
      <c r="F299">
        <v>5</v>
      </c>
      <c r="G299" s="1" t="s">
        <v>12</v>
      </c>
      <c r="H299" s="1" t="s">
        <v>20</v>
      </c>
      <c r="I299" s="1" t="s">
        <v>14</v>
      </c>
      <c r="J299">
        <v>4</v>
      </c>
      <c r="K299" s="1" t="s">
        <v>25</v>
      </c>
      <c r="L299" s="1" t="s">
        <v>23</v>
      </c>
      <c r="M299">
        <v>40</v>
      </c>
      <c r="N299" s="1" t="str" cm="1">
        <f t="array" ref="N299">_xlfn.IFS(M299&lt;40, " Adult", M299&lt;60, "Middle Age", M299&gt;=60, "Older Adult")</f>
        <v>Middle Age</v>
      </c>
      <c r="O299" s="1" t="s">
        <v>17</v>
      </c>
      <c r="P299" s="1" t="b">
        <f>IF(O299="Yes", 1)</f>
        <v>0</v>
      </c>
      <c r="Q299" s="1"/>
    </row>
    <row r="300" spans="1:17" x14ac:dyDescent="0.25">
      <c r="A300">
        <v>14192</v>
      </c>
      <c r="B300" s="1" t="s">
        <v>31</v>
      </c>
      <c r="C300" s="1" t="s">
        <v>32</v>
      </c>
      <c r="D300" s="2">
        <v>90000</v>
      </c>
      <c r="E300" s="2" t="str">
        <f>IF(bike_buyers[[#This Row],[Income]]&lt;40000,"Under 40K", IF(bike_buyers[[#This Row],[Income]]&lt;60000,"40K-59K", IF(bike_buyers[[#This Row],[Income]]&lt;80000,"60K-79K", IF(bike_buyers[[#This Row],[Income]]&lt;100000,"80K-99K","100K+"))))</f>
        <v>80K-99K</v>
      </c>
      <c r="F300">
        <v>4</v>
      </c>
      <c r="G300" s="1" t="s">
        <v>26</v>
      </c>
      <c r="H300" s="1" t="s">
        <v>27</v>
      </c>
      <c r="I300" s="1" t="s">
        <v>14</v>
      </c>
      <c r="J300">
        <v>3</v>
      </c>
      <c r="K300" s="1" t="s">
        <v>22</v>
      </c>
      <c r="L300" s="1" t="s">
        <v>16</v>
      </c>
      <c r="M300">
        <v>56</v>
      </c>
      <c r="N300" s="1" t="str" cm="1">
        <f t="array" ref="N300">_xlfn.IFS(M300&lt;40, " Adult", M300&lt;60, "Middle Age", M300&gt;=60, "Older Adult")</f>
        <v>Middle Age</v>
      </c>
      <c r="O300" s="1" t="s">
        <v>14</v>
      </c>
      <c r="P300" s="1">
        <f>IF(O300="Yes", 1)</f>
        <v>1</v>
      </c>
      <c r="Q300" s="1"/>
    </row>
    <row r="301" spans="1:17" x14ac:dyDescent="0.25">
      <c r="A301">
        <v>16614</v>
      </c>
      <c r="B301" s="1" t="s">
        <v>31</v>
      </c>
      <c r="C301" s="1" t="s">
        <v>33</v>
      </c>
      <c r="D301" s="2">
        <v>80000</v>
      </c>
      <c r="E301" s="2" t="str">
        <f>IF(bike_buyers[[#This Row],[Income]]&lt;40000,"Under 40K", IF(bike_buyers[[#This Row],[Income]]&lt;60000,"40K-59K", IF(bike_buyers[[#This Row],[Income]]&lt;80000,"60K-79K", IF(bike_buyers[[#This Row],[Income]]&lt;100000,"80K-99K","100K+"))))</f>
        <v>80K-99K</v>
      </c>
      <c r="F301">
        <v>0</v>
      </c>
      <c r="G301" s="1" t="s">
        <v>12</v>
      </c>
      <c r="H301" s="1" t="s">
        <v>20</v>
      </c>
      <c r="I301" s="1" t="s">
        <v>14</v>
      </c>
      <c r="J301">
        <v>3</v>
      </c>
      <c r="K301" s="1" t="s">
        <v>62</v>
      </c>
      <c r="L301" s="1" t="s">
        <v>23</v>
      </c>
      <c r="M301">
        <v>32</v>
      </c>
      <c r="N301" s="1" t="str" cm="1">
        <f t="array" ref="N301">_xlfn.IFS(M301&lt;40, " Adult", M301&lt;60, "Middle Age", M301&gt;=60, "Older Adult")</f>
        <v xml:space="preserve"> Adult</v>
      </c>
      <c r="O301" s="1" t="s">
        <v>17</v>
      </c>
      <c r="P301" s="1" t="b">
        <f>IF(O301="Yes", 1)</f>
        <v>0</v>
      </c>
      <c r="Q301" s="1"/>
    </row>
    <row r="302" spans="1:17" x14ac:dyDescent="0.25">
      <c r="A302">
        <v>23426</v>
      </c>
      <c r="B302" s="1" t="s">
        <v>34</v>
      </c>
      <c r="C302" s="1" t="s">
        <v>32</v>
      </c>
      <c r="D302" s="2">
        <v>80000</v>
      </c>
      <c r="E302" s="2" t="str">
        <f>IF(bike_buyers[[#This Row],[Income]]&lt;40000,"Under 40K", IF(bike_buyers[[#This Row],[Income]]&lt;60000,"40K-59K", IF(bike_buyers[[#This Row],[Income]]&lt;80000,"60K-79K", IF(bike_buyers[[#This Row],[Income]]&lt;100000,"80K-99K","100K+"))))</f>
        <v>80K-99K</v>
      </c>
      <c r="F302">
        <v>5</v>
      </c>
      <c r="G302" s="1" t="s">
        <v>29</v>
      </c>
      <c r="H302" s="1" t="s">
        <v>27</v>
      </c>
      <c r="I302" s="1" t="s">
        <v>14</v>
      </c>
      <c r="J302">
        <v>3</v>
      </c>
      <c r="K302" s="1" t="s">
        <v>15</v>
      </c>
      <c r="L302" s="1" t="s">
        <v>23</v>
      </c>
      <c r="M302">
        <v>40</v>
      </c>
      <c r="N302" s="1" t="str" cm="1">
        <f t="array" ref="N302">_xlfn.IFS(M302&lt;40, " Adult", M302&lt;60, "Middle Age", M302&gt;=60, "Older Adult")</f>
        <v>Middle Age</v>
      </c>
      <c r="O302" s="1" t="s">
        <v>17</v>
      </c>
      <c r="P302" s="1" t="b">
        <f>IF(O302="Yes", 1)</f>
        <v>0</v>
      </c>
      <c r="Q302" s="1"/>
    </row>
    <row r="303" spans="1:17" x14ac:dyDescent="0.25">
      <c r="A303">
        <v>26757</v>
      </c>
      <c r="B303" s="1" t="s">
        <v>34</v>
      </c>
      <c r="C303" s="1" t="s">
        <v>32</v>
      </c>
      <c r="D303" s="2">
        <v>90000</v>
      </c>
      <c r="E303" s="2" t="str">
        <f>IF(bike_buyers[[#This Row],[Income]]&lt;40000,"Under 40K", IF(bike_buyers[[#This Row],[Income]]&lt;60000,"40K-59K", IF(bike_buyers[[#This Row],[Income]]&lt;80000,"60K-79K", IF(bike_buyers[[#This Row],[Income]]&lt;100000,"80K-99K","100K+"))))</f>
        <v>80K-99K</v>
      </c>
      <c r="F303">
        <v>1</v>
      </c>
      <c r="G303" s="1" t="s">
        <v>12</v>
      </c>
      <c r="H303" s="1" t="s">
        <v>20</v>
      </c>
      <c r="I303" s="1" t="s">
        <v>14</v>
      </c>
      <c r="J303">
        <v>1</v>
      </c>
      <c r="K303" s="1" t="s">
        <v>21</v>
      </c>
      <c r="L303" s="1" t="s">
        <v>23</v>
      </c>
      <c r="M303">
        <v>47</v>
      </c>
      <c r="N303" s="1" t="str" cm="1">
        <f t="array" ref="N303">_xlfn.IFS(M303&lt;40, " Adult", M303&lt;60, "Middle Age", M303&gt;=60, "Older Adult")</f>
        <v>Middle Age</v>
      </c>
      <c r="O303" s="1" t="s">
        <v>14</v>
      </c>
      <c r="P303" s="1">
        <f>IF(O303="Yes", 1)</f>
        <v>1</v>
      </c>
      <c r="Q303" s="1"/>
    </row>
    <row r="304" spans="1:17" x14ac:dyDescent="0.25">
      <c r="A304">
        <v>18144</v>
      </c>
      <c r="B304" s="1" t="s">
        <v>31</v>
      </c>
      <c r="C304" s="1" t="s">
        <v>33</v>
      </c>
      <c r="D304" s="2">
        <v>80000</v>
      </c>
      <c r="E304" s="2" t="str">
        <f>IF(bike_buyers[[#This Row],[Income]]&lt;40000,"Under 40K", IF(bike_buyers[[#This Row],[Income]]&lt;60000,"40K-59K", IF(bike_buyers[[#This Row],[Income]]&lt;80000,"60K-79K", IF(bike_buyers[[#This Row],[Income]]&lt;100000,"80K-99K","100K+"))))</f>
        <v>80K-99K</v>
      </c>
      <c r="F304">
        <v>5</v>
      </c>
      <c r="G304" s="1" t="s">
        <v>12</v>
      </c>
      <c r="H304" s="1" t="s">
        <v>27</v>
      </c>
      <c r="I304" s="1" t="s">
        <v>14</v>
      </c>
      <c r="J304">
        <v>2</v>
      </c>
      <c r="K304" s="1" t="s">
        <v>21</v>
      </c>
      <c r="L304" s="1" t="s">
        <v>16</v>
      </c>
      <c r="M304">
        <v>61</v>
      </c>
      <c r="N304" s="1" t="str" cm="1">
        <f t="array" ref="N304">_xlfn.IFS(M304&lt;40, " Adult", M304&lt;60, "Middle Age", M304&gt;=60, "Older Adult")</f>
        <v>Older Adult</v>
      </c>
      <c r="O304" s="1" t="s">
        <v>17</v>
      </c>
      <c r="P304" s="1" t="b">
        <f>IF(O304="Yes", 1)</f>
        <v>0</v>
      </c>
      <c r="Q304" s="1"/>
    </row>
    <row r="305" spans="1:17" x14ac:dyDescent="0.25">
      <c r="A305">
        <v>17504</v>
      </c>
      <c r="B305" s="1" t="s">
        <v>34</v>
      </c>
      <c r="C305" s="1" t="s">
        <v>33</v>
      </c>
      <c r="D305" s="2">
        <v>80000</v>
      </c>
      <c r="E305" s="2" t="str">
        <f>IF(bike_buyers[[#This Row],[Income]]&lt;40000,"Under 40K", IF(bike_buyers[[#This Row],[Income]]&lt;60000,"40K-59K", IF(bike_buyers[[#This Row],[Income]]&lt;80000,"60K-79K", IF(bike_buyers[[#This Row],[Income]]&lt;100000,"80K-99K","100K+"))))</f>
        <v>80K-99K</v>
      </c>
      <c r="F305">
        <v>2</v>
      </c>
      <c r="G305" s="1" t="s">
        <v>18</v>
      </c>
      <c r="H305" s="1" t="s">
        <v>13</v>
      </c>
      <c r="I305" s="1" t="s">
        <v>14</v>
      </c>
      <c r="J305">
        <v>2</v>
      </c>
      <c r="K305" s="1" t="s">
        <v>22</v>
      </c>
      <c r="L305" s="1" t="s">
        <v>23</v>
      </c>
      <c r="M305">
        <v>52</v>
      </c>
      <c r="N305" s="1" t="str" cm="1">
        <f t="array" ref="N305">_xlfn.IFS(M305&lt;40, " Adult", M305&lt;60, "Middle Age", M305&gt;=60, "Older Adult")</f>
        <v>Middle Age</v>
      </c>
      <c r="O305" s="1" t="s">
        <v>14</v>
      </c>
      <c r="P305" s="1">
        <f>IF(O305="Yes", 1)</f>
        <v>1</v>
      </c>
      <c r="Q305" s="1"/>
    </row>
    <row r="306" spans="1:17" x14ac:dyDescent="0.25">
      <c r="A306">
        <v>15799</v>
      </c>
      <c r="B306" s="1" t="s">
        <v>31</v>
      </c>
      <c r="C306" s="1" t="s">
        <v>33</v>
      </c>
      <c r="D306" s="2">
        <v>90000</v>
      </c>
      <c r="E306" s="2" t="str">
        <f>IF(bike_buyers[[#This Row],[Income]]&lt;40000,"Under 40K", IF(bike_buyers[[#This Row],[Income]]&lt;60000,"40K-59K", IF(bike_buyers[[#This Row],[Income]]&lt;80000,"60K-79K", IF(bike_buyers[[#This Row],[Income]]&lt;100000,"80K-99K","100K+"))))</f>
        <v>80K-99K</v>
      </c>
      <c r="F306">
        <v>1</v>
      </c>
      <c r="G306" s="1" t="s">
        <v>12</v>
      </c>
      <c r="H306" s="1" t="s">
        <v>20</v>
      </c>
      <c r="I306" s="1" t="s">
        <v>14</v>
      </c>
      <c r="J306">
        <v>1</v>
      </c>
      <c r="K306" s="1" t="s">
        <v>21</v>
      </c>
      <c r="L306" s="1" t="s">
        <v>23</v>
      </c>
      <c r="M306">
        <v>47</v>
      </c>
      <c r="N306" s="1" t="str" cm="1">
        <f t="array" ref="N306">_xlfn.IFS(M306&lt;40, " Adult", M306&lt;60, "Middle Age", M306&gt;=60, "Older Adult")</f>
        <v>Middle Age</v>
      </c>
      <c r="O306" s="1" t="s">
        <v>14</v>
      </c>
      <c r="P306" s="1">
        <f>IF(O306="Yes", 1)</f>
        <v>1</v>
      </c>
      <c r="Q306" s="1"/>
    </row>
    <row r="307" spans="1:17" x14ac:dyDescent="0.25">
      <c r="A307">
        <v>18151</v>
      </c>
      <c r="B307" s="1" t="s">
        <v>34</v>
      </c>
      <c r="C307" s="1" t="s">
        <v>32</v>
      </c>
      <c r="D307" s="2">
        <v>80000</v>
      </c>
      <c r="E307" s="2" t="str">
        <f>IF(bike_buyers[[#This Row],[Income]]&lt;40000,"Under 40K", IF(bike_buyers[[#This Row],[Income]]&lt;60000,"40K-59K", IF(bike_buyers[[#This Row],[Income]]&lt;80000,"60K-79K", IF(bike_buyers[[#This Row],[Income]]&lt;100000,"80K-99K","100K+"))))</f>
        <v>80K-99K</v>
      </c>
      <c r="F307">
        <v>5</v>
      </c>
      <c r="G307" s="1" t="s">
        <v>18</v>
      </c>
      <c r="H307" s="1" t="s">
        <v>20</v>
      </c>
      <c r="I307" s="1" t="s">
        <v>17</v>
      </c>
      <c r="J307">
        <v>2</v>
      </c>
      <c r="K307" s="1" t="s">
        <v>62</v>
      </c>
      <c r="L307" s="1" t="s">
        <v>16</v>
      </c>
      <c r="M307">
        <v>59</v>
      </c>
      <c r="N307" s="1" t="str" cm="1">
        <f t="array" ref="N307">_xlfn.IFS(M307&lt;40, " Adult", M307&lt;60, "Middle Age", M307&gt;=60, "Older Adult")</f>
        <v>Middle Age</v>
      </c>
      <c r="O307" s="1" t="s">
        <v>17</v>
      </c>
      <c r="P307" s="1" t="b">
        <f>IF(O307="Yes", 1)</f>
        <v>0</v>
      </c>
      <c r="Q307" s="1"/>
    </row>
    <row r="308" spans="1:17" x14ac:dyDescent="0.25">
      <c r="A308">
        <v>26944</v>
      </c>
      <c r="B308" s="1" t="s">
        <v>34</v>
      </c>
      <c r="C308" s="1" t="s">
        <v>32</v>
      </c>
      <c r="D308" s="2">
        <v>90000</v>
      </c>
      <c r="E308" s="2" t="str">
        <f>IF(bike_buyers[[#This Row],[Income]]&lt;40000,"Under 40K", IF(bike_buyers[[#This Row],[Income]]&lt;60000,"40K-59K", IF(bike_buyers[[#This Row],[Income]]&lt;80000,"60K-79K", IF(bike_buyers[[#This Row],[Income]]&lt;100000,"80K-99K","100K+"))))</f>
        <v>80K-99K</v>
      </c>
      <c r="F308">
        <v>2</v>
      </c>
      <c r="G308" s="1" t="s">
        <v>26</v>
      </c>
      <c r="H308" s="1" t="s">
        <v>24</v>
      </c>
      <c r="I308" s="1" t="s">
        <v>14</v>
      </c>
      <c r="J308">
        <v>0</v>
      </c>
      <c r="K308" s="1" t="s">
        <v>15</v>
      </c>
      <c r="L308" s="1" t="s">
        <v>16</v>
      </c>
      <c r="M308">
        <v>36</v>
      </c>
      <c r="N308" s="1" t="str" cm="1">
        <f t="array" ref="N308">_xlfn.IFS(M308&lt;40, " Adult", M308&lt;60, "Middle Age", M308&gt;=60, "Older Adult")</f>
        <v xml:space="preserve"> Adult</v>
      </c>
      <c r="O308" s="1" t="s">
        <v>14</v>
      </c>
      <c r="P308" s="1">
        <f>IF(O308="Yes", 1)</f>
        <v>1</v>
      </c>
      <c r="Q308" s="1"/>
    </row>
    <row r="309" spans="1:17" x14ac:dyDescent="0.25">
      <c r="A309">
        <v>15682</v>
      </c>
      <c r="B309" s="1" t="s">
        <v>34</v>
      </c>
      <c r="C309" s="1" t="s">
        <v>33</v>
      </c>
      <c r="D309" s="2">
        <v>80000</v>
      </c>
      <c r="E309" s="2" t="str">
        <f>IF(bike_buyers[[#This Row],[Income]]&lt;40000,"Under 40K", IF(bike_buyers[[#This Row],[Income]]&lt;60000,"40K-59K", IF(bike_buyers[[#This Row],[Income]]&lt;80000,"60K-79K", IF(bike_buyers[[#This Row],[Income]]&lt;100000,"80K-99K","100K+"))))</f>
        <v>80K-99K</v>
      </c>
      <c r="F309">
        <v>5</v>
      </c>
      <c r="G309" s="1" t="s">
        <v>12</v>
      </c>
      <c r="H309" s="1" t="s">
        <v>27</v>
      </c>
      <c r="I309" s="1" t="s">
        <v>14</v>
      </c>
      <c r="J309">
        <v>2</v>
      </c>
      <c r="K309" s="1" t="s">
        <v>62</v>
      </c>
      <c r="L309" s="1" t="s">
        <v>16</v>
      </c>
      <c r="M309">
        <v>62</v>
      </c>
      <c r="N309" s="1" t="str" cm="1">
        <f t="array" ref="N309">_xlfn.IFS(M309&lt;40, " Adult", M309&lt;60, "Middle Age", M309&gt;=60, "Older Adult")</f>
        <v>Older Adult</v>
      </c>
      <c r="O309" s="1" t="s">
        <v>17</v>
      </c>
      <c r="P309" s="1" t="b">
        <f>IF(O309="Yes", 1)</f>
        <v>0</v>
      </c>
      <c r="Q309" s="1"/>
    </row>
    <row r="310" spans="1:17" x14ac:dyDescent="0.25">
      <c r="A310">
        <v>11453</v>
      </c>
      <c r="B310" s="1" t="s">
        <v>34</v>
      </c>
      <c r="C310" s="1" t="s">
        <v>32</v>
      </c>
      <c r="D310" s="2">
        <v>80000</v>
      </c>
      <c r="E310" s="2" t="str">
        <f>IF(bike_buyers[[#This Row],[Income]]&lt;40000,"Under 40K", IF(bike_buyers[[#This Row],[Income]]&lt;60000,"40K-59K", IF(bike_buyers[[#This Row],[Income]]&lt;80000,"60K-79K", IF(bike_buyers[[#This Row],[Income]]&lt;100000,"80K-99K","100K+"))))</f>
        <v>80K-99K</v>
      </c>
      <c r="F310">
        <v>0</v>
      </c>
      <c r="G310" s="1" t="s">
        <v>12</v>
      </c>
      <c r="H310" s="1" t="s">
        <v>20</v>
      </c>
      <c r="I310" s="1" t="s">
        <v>17</v>
      </c>
      <c r="J310">
        <v>3</v>
      </c>
      <c r="K310" s="1" t="s">
        <v>62</v>
      </c>
      <c r="L310" s="1" t="s">
        <v>23</v>
      </c>
      <c r="M310">
        <v>33</v>
      </c>
      <c r="N310" s="1" t="str" cm="1">
        <f t="array" ref="N310">_xlfn.IFS(M310&lt;40, " Adult", M310&lt;60, "Middle Age", M310&gt;=60, "Older Adult")</f>
        <v xml:space="preserve"> Adult</v>
      </c>
      <c r="O310" s="1" t="s">
        <v>14</v>
      </c>
      <c r="P310" s="1">
        <f>IF(O310="Yes", 1)</f>
        <v>1</v>
      </c>
      <c r="Q310" s="1"/>
    </row>
    <row r="311" spans="1:17" x14ac:dyDescent="0.25">
      <c r="A311">
        <v>24842</v>
      </c>
      <c r="B311" s="1" t="s">
        <v>34</v>
      </c>
      <c r="C311" s="1" t="s">
        <v>33</v>
      </c>
      <c r="D311" s="2">
        <v>90000</v>
      </c>
      <c r="E311" s="2" t="str">
        <f>IF(bike_buyers[[#This Row],[Income]]&lt;40000,"Under 40K", IF(bike_buyers[[#This Row],[Income]]&lt;60000,"40K-59K", IF(bike_buyers[[#This Row],[Income]]&lt;80000,"60K-79K", IF(bike_buyers[[#This Row],[Income]]&lt;100000,"80K-99K","100K+"))))</f>
        <v>80K-99K</v>
      </c>
      <c r="F311">
        <v>3</v>
      </c>
      <c r="G311" s="1" t="s">
        <v>26</v>
      </c>
      <c r="H311" s="1" t="s">
        <v>20</v>
      </c>
      <c r="I311" s="1" t="s">
        <v>17</v>
      </c>
      <c r="J311">
        <v>1</v>
      </c>
      <c r="K311" s="1" t="s">
        <v>21</v>
      </c>
      <c r="L311" s="1" t="s">
        <v>16</v>
      </c>
      <c r="M311">
        <v>51</v>
      </c>
      <c r="N311" s="1" t="str" cm="1">
        <f t="array" ref="N311">_xlfn.IFS(M311&lt;40, " Adult", M311&lt;60, "Middle Age", M311&gt;=60, "Older Adult")</f>
        <v>Middle Age</v>
      </c>
      <c r="O311" s="1" t="s">
        <v>17</v>
      </c>
      <c r="P311" s="1" t="b">
        <f>IF(O311="Yes", 1)</f>
        <v>0</v>
      </c>
      <c r="Q311" s="1"/>
    </row>
    <row r="312" spans="1:17" x14ac:dyDescent="0.25">
      <c r="A312">
        <v>11415</v>
      </c>
      <c r="B312" s="1" t="s">
        <v>34</v>
      </c>
      <c r="C312" s="1" t="s">
        <v>32</v>
      </c>
      <c r="D312" s="2">
        <v>90000</v>
      </c>
      <c r="E312" s="2" t="str">
        <f>IF(bike_buyers[[#This Row],[Income]]&lt;40000,"Under 40K", IF(bike_buyers[[#This Row],[Income]]&lt;60000,"40K-59K", IF(bike_buyers[[#This Row],[Income]]&lt;80000,"60K-79K", IF(bike_buyers[[#This Row],[Income]]&lt;100000,"80K-99K","100K+"))))</f>
        <v>80K-99K</v>
      </c>
      <c r="F312">
        <v>5</v>
      </c>
      <c r="G312" s="1" t="s">
        <v>18</v>
      </c>
      <c r="H312" s="1" t="s">
        <v>20</v>
      </c>
      <c r="I312" s="1" t="s">
        <v>17</v>
      </c>
      <c r="J312">
        <v>2</v>
      </c>
      <c r="K312" s="1" t="s">
        <v>62</v>
      </c>
      <c r="L312" s="1" t="s">
        <v>16</v>
      </c>
      <c r="M312">
        <v>62</v>
      </c>
      <c r="N312" s="1" t="str" cm="1">
        <f t="array" ref="N312">_xlfn.IFS(M312&lt;40, " Adult", M312&lt;60, "Middle Age", M312&gt;=60, "Older Adult")</f>
        <v>Older Adult</v>
      </c>
      <c r="O312" s="1" t="s">
        <v>17</v>
      </c>
      <c r="P312" s="1" t="b">
        <f>IF(O312="Yes", 1)</f>
        <v>0</v>
      </c>
      <c r="Q312" s="1"/>
    </row>
    <row r="313" spans="1:17" x14ac:dyDescent="0.25">
      <c r="A313">
        <v>14669</v>
      </c>
      <c r="B313" s="1" t="s">
        <v>31</v>
      </c>
      <c r="C313" s="1" t="s">
        <v>33</v>
      </c>
      <c r="D313" s="2">
        <v>80000</v>
      </c>
      <c r="E313" s="2" t="str">
        <f>IF(bike_buyers[[#This Row],[Income]]&lt;40000,"Under 40K", IF(bike_buyers[[#This Row],[Income]]&lt;60000,"40K-59K", IF(bike_buyers[[#This Row],[Income]]&lt;80000,"60K-79K", IF(bike_buyers[[#This Row],[Income]]&lt;100000,"80K-99K","100K+"))))</f>
        <v>80K-99K</v>
      </c>
      <c r="F313">
        <v>4</v>
      </c>
      <c r="G313" s="1" t="s">
        <v>29</v>
      </c>
      <c r="H313" s="1" t="s">
        <v>27</v>
      </c>
      <c r="I313" s="1" t="s">
        <v>14</v>
      </c>
      <c r="J313">
        <v>1</v>
      </c>
      <c r="K313" s="1" t="s">
        <v>15</v>
      </c>
      <c r="L313" s="1" t="s">
        <v>23</v>
      </c>
      <c r="M313">
        <v>36</v>
      </c>
      <c r="N313" s="1" t="str" cm="1">
        <f t="array" ref="N313">_xlfn.IFS(M313&lt;40, " Adult", M313&lt;60, "Middle Age", M313&gt;=60, "Older Adult")</f>
        <v xml:space="preserve"> Adult</v>
      </c>
      <c r="O313" s="1" t="s">
        <v>17</v>
      </c>
      <c r="P313" s="1" t="b">
        <f>IF(O313="Yes", 1)</f>
        <v>0</v>
      </c>
      <c r="Q313" s="1"/>
    </row>
    <row r="314" spans="1:17" x14ac:dyDescent="0.25">
      <c r="A314">
        <v>27951</v>
      </c>
      <c r="B314" s="1" t="s">
        <v>34</v>
      </c>
      <c r="C314" s="1" t="s">
        <v>32</v>
      </c>
      <c r="D314" s="2">
        <v>80000</v>
      </c>
      <c r="E314" s="2" t="str">
        <f>IF(bike_buyers[[#This Row],[Income]]&lt;40000,"Under 40K", IF(bike_buyers[[#This Row],[Income]]&lt;60000,"40K-59K", IF(bike_buyers[[#This Row],[Income]]&lt;80000,"60K-79K", IF(bike_buyers[[#This Row],[Income]]&lt;100000,"80K-99K","100K+"))))</f>
        <v>80K-99K</v>
      </c>
      <c r="F314">
        <v>4</v>
      </c>
      <c r="G314" s="1" t="s">
        <v>18</v>
      </c>
      <c r="H314" s="1" t="s">
        <v>20</v>
      </c>
      <c r="I314" s="1" t="s">
        <v>17</v>
      </c>
      <c r="J314">
        <v>2</v>
      </c>
      <c r="K314" s="1" t="s">
        <v>21</v>
      </c>
      <c r="L314" s="1" t="s">
        <v>16</v>
      </c>
      <c r="M314">
        <v>54</v>
      </c>
      <c r="N314" s="1" t="str" cm="1">
        <f t="array" ref="N314">_xlfn.IFS(M314&lt;40, " Adult", M314&lt;60, "Middle Age", M314&gt;=60, "Older Adult")</f>
        <v>Middle Age</v>
      </c>
      <c r="O314" s="1" t="s">
        <v>14</v>
      </c>
      <c r="P314" s="1">
        <f>IF(O314="Yes", 1)</f>
        <v>1</v>
      </c>
      <c r="Q314" s="1"/>
    </row>
    <row r="315" spans="1:17" x14ac:dyDescent="0.25">
      <c r="A315">
        <v>28915</v>
      </c>
      <c r="B315" s="1" t="s">
        <v>34</v>
      </c>
      <c r="C315" s="1" t="s">
        <v>32</v>
      </c>
      <c r="D315" s="2">
        <v>80000</v>
      </c>
      <c r="E315" s="2" t="str">
        <f>IF(bike_buyers[[#This Row],[Income]]&lt;40000,"Under 40K", IF(bike_buyers[[#This Row],[Income]]&lt;60000,"40K-59K", IF(bike_buyers[[#This Row],[Income]]&lt;80000,"60K-79K", IF(bike_buyers[[#This Row],[Income]]&lt;100000,"80K-99K","100K+"))))</f>
        <v>80K-99K</v>
      </c>
      <c r="F315">
        <v>5</v>
      </c>
      <c r="G315" s="1" t="s">
        <v>26</v>
      </c>
      <c r="H315" s="1" t="s">
        <v>27</v>
      </c>
      <c r="I315" s="1" t="s">
        <v>14</v>
      </c>
      <c r="J315">
        <v>3</v>
      </c>
      <c r="K315" s="1" t="s">
        <v>62</v>
      </c>
      <c r="L315" s="1" t="s">
        <v>16</v>
      </c>
      <c r="M315">
        <v>57</v>
      </c>
      <c r="N315" s="1" t="str" cm="1">
        <f t="array" ref="N315">_xlfn.IFS(M315&lt;40, " Adult", M315&lt;60, "Middle Age", M315&gt;=60, "Older Adult")</f>
        <v>Middle Age</v>
      </c>
      <c r="O315" s="1" t="s">
        <v>17</v>
      </c>
      <c r="P315" s="1" t="b">
        <f>IF(O315="Yes", 1)</f>
        <v>0</v>
      </c>
      <c r="Q315" s="1"/>
    </row>
    <row r="316" spans="1:17" x14ac:dyDescent="0.25">
      <c r="A316">
        <v>24611</v>
      </c>
      <c r="B316" s="1" t="s">
        <v>34</v>
      </c>
      <c r="C316" s="1" t="s">
        <v>32</v>
      </c>
      <c r="D316" s="2">
        <v>90000</v>
      </c>
      <c r="E316" s="2" t="str">
        <f>IF(bike_buyers[[#This Row],[Income]]&lt;40000,"Under 40K", IF(bike_buyers[[#This Row],[Income]]&lt;60000,"40K-59K", IF(bike_buyers[[#This Row],[Income]]&lt;80000,"60K-79K", IF(bike_buyers[[#This Row],[Income]]&lt;100000,"80K-99K","100K+"))))</f>
        <v>80K-99K</v>
      </c>
      <c r="F316">
        <v>0</v>
      </c>
      <c r="G316" s="1" t="s">
        <v>12</v>
      </c>
      <c r="H316" s="1" t="s">
        <v>20</v>
      </c>
      <c r="I316" s="1" t="s">
        <v>17</v>
      </c>
      <c r="J316">
        <v>4</v>
      </c>
      <c r="K316" s="1" t="s">
        <v>62</v>
      </c>
      <c r="L316" s="1" t="s">
        <v>23</v>
      </c>
      <c r="M316">
        <v>35</v>
      </c>
      <c r="N316" s="1" t="str" cm="1">
        <f t="array" ref="N316">_xlfn.IFS(M316&lt;40, " Adult", M316&lt;60, "Middle Age", M316&gt;=60, "Older Adult")</f>
        <v xml:space="preserve"> Adult</v>
      </c>
      <c r="O316" s="1" t="s">
        <v>14</v>
      </c>
      <c r="P316" s="1">
        <f>IF(O316="Yes", 1)</f>
        <v>1</v>
      </c>
      <c r="Q316" s="1"/>
    </row>
    <row r="317" spans="1:17" x14ac:dyDescent="0.25">
      <c r="A317">
        <v>26654</v>
      </c>
      <c r="B317" s="1" t="s">
        <v>31</v>
      </c>
      <c r="C317" s="1" t="s">
        <v>33</v>
      </c>
      <c r="D317" s="2">
        <v>90000</v>
      </c>
      <c r="E317" s="2" t="str">
        <f>IF(bike_buyers[[#This Row],[Income]]&lt;40000,"Under 40K", IF(bike_buyers[[#This Row],[Income]]&lt;60000,"40K-59K", IF(bike_buyers[[#This Row],[Income]]&lt;80000,"60K-79K", IF(bike_buyers[[#This Row],[Income]]&lt;100000,"80K-99K","100K+"))))</f>
        <v>80K-99K</v>
      </c>
      <c r="F317">
        <v>1</v>
      </c>
      <c r="G317" s="1" t="s">
        <v>29</v>
      </c>
      <c r="H317" s="1" t="s">
        <v>27</v>
      </c>
      <c r="I317" s="1" t="s">
        <v>14</v>
      </c>
      <c r="J317">
        <v>0</v>
      </c>
      <c r="K317" s="1" t="s">
        <v>15</v>
      </c>
      <c r="L317" s="1" t="s">
        <v>23</v>
      </c>
      <c r="M317">
        <v>37</v>
      </c>
      <c r="N317" s="1" t="str" cm="1">
        <f t="array" ref="N317">_xlfn.IFS(M317&lt;40, " Adult", M317&lt;60, "Middle Age", M317&gt;=60, "Older Adult")</f>
        <v xml:space="preserve"> Adult</v>
      </c>
      <c r="O317" s="1" t="s">
        <v>14</v>
      </c>
      <c r="P317" s="1">
        <f>IF(O317="Yes", 1)</f>
        <v>1</v>
      </c>
      <c r="Q317" s="1"/>
    </row>
    <row r="318" spans="1:17" x14ac:dyDescent="0.25">
      <c r="A318">
        <v>14189</v>
      </c>
      <c r="B318" s="1" t="s">
        <v>31</v>
      </c>
      <c r="C318" s="1" t="s">
        <v>33</v>
      </c>
      <c r="D318" s="2">
        <v>90000</v>
      </c>
      <c r="E318" s="2" t="str">
        <f>IF(bike_buyers[[#This Row],[Income]]&lt;40000,"Under 40K", IF(bike_buyers[[#This Row],[Income]]&lt;60000,"40K-59K", IF(bike_buyers[[#This Row],[Income]]&lt;80000,"60K-79K", IF(bike_buyers[[#This Row],[Income]]&lt;100000,"80K-99K","100K+"))))</f>
        <v>80K-99K</v>
      </c>
      <c r="F318">
        <v>4</v>
      </c>
      <c r="G318" s="1" t="s">
        <v>26</v>
      </c>
      <c r="H318" s="1" t="s">
        <v>20</v>
      </c>
      <c r="I318" s="1" t="s">
        <v>17</v>
      </c>
      <c r="J318">
        <v>2</v>
      </c>
      <c r="K318" s="1" t="s">
        <v>21</v>
      </c>
      <c r="L318" s="1" t="s">
        <v>16</v>
      </c>
      <c r="M318">
        <v>54</v>
      </c>
      <c r="N318" s="1" t="str" cm="1">
        <f t="array" ref="N318">_xlfn.IFS(M318&lt;40, " Adult", M318&lt;60, "Middle Age", M318&gt;=60, "Older Adult")</f>
        <v>Middle Age</v>
      </c>
      <c r="O318" s="1" t="s">
        <v>14</v>
      </c>
      <c r="P318" s="1">
        <f>IF(O318="Yes", 1)</f>
        <v>1</v>
      </c>
      <c r="Q318" s="1"/>
    </row>
    <row r="319" spans="1:17" x14ac:dyDescent="0.25">
      <c r="A319">
        <v>28207</v>
      </c>
      <c r="B319" s="1" t="s">
        <v>31</v>
      </c>
      <c r="C319" s="1" t="s">
        <v>32</v>
      </c>
      <c r="D319" s="2">
        <v>80000</v>
      </c>
      <c r="E319" s="2" t="str">
        <f>IF(bike_buyers[[#This Row],[Income]]&lt;40000,"Under 40K", IF(bike_buyers[[#This Row],[Income]]&lt;60000,"40K-59K", IF(bike_buyers[[#This Row],[Income]]&lt;80000,"60K-79K", IF(bike_buyers[[#This Row],[Income]]&lt;100000,"80K-99K","100K+"))))</f>
        <v>80K-99K</v>
      </c>
      <c r="F319">
        <v>4</v>
      </c>
      <c r="G319" s="1" t="s">
        <v>29</v>
      </c>
      <c r="H319" s="1" t="s">
        <v>27</v>
      </c>
      <c r="I319" s="1" t="s">
        <v>14</v>
      </c>
      <c r="J319">
        <v>1</v>
      </c>
      <c r="K319" s="1" t="s">
        <v>15</v>
      </c>
      <c r="L319" s="1" t="s">
        <v>23</v>
      </c>
      <c r="M319">
        <v>36</v>
      </c>
      <c r="N319" s="1" t="str" cm="1">
        <f t="array" ref="N319">_xlfn.IFS(M319&lt;40, " Adult", M319&lt;60, "Middle Age", M319&gt;=60, "Older Adult")</f>
        <v xml:space="preserve"> Adult</v>
      </c>
      <c r="O319" s="1" t="s">
        <v>14</v>
      </c>
      <c r="P319" s="1">
        <f>IF(O319="Yes", 1)</f>
        <v>1</v>
      </c>
      <c r="Q319" s="1"/>
    </row>
    <row r="320" spans="1:17" x14ac:dyDescent="0.25">
      <c r="A320">
        <v>11000</v>
      </c>
      <c r="B320" s="1" t="s">
        <v>31</v>
      </c>
      <c r="C320" s="1" t="s">
        <v>32</v>
      </c>
      <c r="D320" s="2">
        <v>90000</v>
      </c>
      <c r="E320" s="2" t="str">
        <f>IF(bike_buyers[[#This Row],[Income]]&lt;40000,"Under 40K", IF(bike_buyers[[#This Row],[Income]]&lt;60000,"40K-59K", IF(bike_buyers[[#This Row],[Income]]&lt;80000,"60K-79K", IF(bike_buyers[[#This Row],[Income]]&lt;100000,"80K-99K","100K+"))))</f>
        <v>80K-99K</v>
      </c>
      <c r="F320">
        <v>2</v>
      </c>
      <c r="G320" s="1" t="s">
        <v>12</v>
      </c>
      <c r="H320" s="1" t="s">
        <v>20</v>
      </c>
      <c r="I320" s="1" t="s">
        <v>14</v>
      </c>
      <c r="J320">
        <v>0</v>
      </c>
      <c r="K320" s="1" t="s">
        <v>25</v>
      </c>
      <c r="L320" s="1" t="s">
        <v>23</v>
      </c>
      <c r="M320">
        <v>40</v>
      </c>
      <c r="N320" s="1" t="str" cm="1">
        <f t="array" ref="N320">_xlfn.IFS(M320&lt;40, " Adult", M320&lt;60, "Middle Age", M320&gt;=60, "Older Adult")</f>
        <v>Middle Age</v>
      </c>
      <c r="O320" s="1" t="s">
        <v>14</v>
      </c>
      <c r="P320" s="1">
        <f>IF(O320="Yes", 1)</f>
        <v>1</v>
      </c>
      <c r="Q320" s="1"/>
    </row>
    <row r="321" spans="1:17" x14ac:dyDescent="0.25">
      <c r="A321">
        <v>18740</v>
      </c>
      <c r="B321" s="1" t="s">
        <v>31</v>
      </c>
      <c r="C321" s="1" t="s">
        <v>32</v>
      </c>
      <c r="D321" s="2">
        <v>80000</v>
      </c>
      <c r="E321" s="2" t="str">
        <f>IF(bike_buyers[[#This Row],[Income]]&lt;40000,"Under 40K", IF(bike_buyers[[#This Row],[Income]]&lt;60000,"40K-59K", IF(bike_buyers[[#This Row],[Income]]&lt;80000,"60K-79K", IF(bike_buyers[[#This Row],[Income]]&lt;100000,"80K-99K","100K+"))))</f>
        <v>80K-99K</v>
      </c>
      <c r="F321">
        <v>5</v>
      </c>
      <c r="G321" s="1" t="s">
        <v>12</v>
      </c>
      <c r="H321" s="1" t="s">
        <v>20</v>
      </c>
      <c r="I321" s="1" t="s">
        <v>17</v>
      </c>
      <c r="J321">
        <v>1</v>
      </c>
      <c r="K321" s="1" t="s">
        <v>15</v>
      </c>
      <c r="L321" s="1" t="s">
        <v>23</v>
      </c>
      <c r="M321">
        <v>47</v>
      </c>
      <c r="N321" s="1" t="str" cm="1">
        <f t="array" ref="N321">_xlfn.IFS(M321&lt;40, " Adult", M321&lt;60, "Middle Age", M321&gt;=60, "Older Adult")</f>
        <v>Middle Age</v>
      </c>
      <c r="O321" s="1" t="s">
        <v>14</v>
      </c>
      <c r="P321" s="1">
        <f>IF(O321="Yes", 1)</f>
        <v>1</v>
      </c>
      <c r="Q321" s="1"/>
    </row>
    <row r="322" spans="1:17" x14ac:dyDescent="0.25">
      <c r="A322">
        <v>22930</v>
      </c>
      <c r="B322" s="1" t="s">
        <v>31</v>
      </c>
      <c r="C322" s="1" t="s">
        <v>32</v>
      </c>
      <c r="D322" s="2">
        <v>90000</v>
      </c>
      <c r="E322" s="2" t="str">
        <f>IF(bike_buyers[[#This Row],[Income]]&lt;40000,"Under 40K", IF(bike_buyers[[#This Row],[Income]]&lt;60000,"40K-59K", IF(bike_buyers[[#This Row],[Income]]&lt;80000,"60K-79K", IF(bike_buyers[[#This Row],[Income]]&lt;100000,"80K-99K","100K+"))))</f>
        <v>80K-99K</v>
      </c>
      <c r="F322">
        <v>4</v>
      </c>
      <c r="G322" s="1" t="s">
        <v>12</v>
      </c>
      <c r="H322" s="1" t="s">
        <v>20</v>
      </c>
      <c r="I322" s="1" t="s">
        <v>14</v>
      </c>
      <c r="J322">
        <v>0</v>
      </c>
      <c r="K322" s="1" t="s">
        <v>25</v>
      </c>
      <c r="L322" s="1" t="s">
        <v>23</v>
      </c>
      <c r="M322">
        <v>38</v>
      </c>
      <c r="N322" s="1" t="str" cm="1">
        <f t="array" ref="N322">_xlfn.IFS(M322&lt;40, " Adult", M322&lt;60, "Middle Age", M322&gt;=60, "Older Adult")</f>
        <v xml:space="preserve"> Adult</v>
      </c>
      <c r="O322" s="1" t="s">
        <v>14</v>
      </c>
      <c r="P322" s="1">
        <f>IF(O322="Yes", 1)</f>
        <v>1</v>
      </c>
      <c r="Q322" s="1"/>
    </row>
    <row r="323" spans="1:17" x14ac:dyDescent="0.25">
      <c r="A323">
        <v>12663</v>
      </c>
      <c r="B323" s="1" t="s">
        <v>31</v>
      </c>
      <c r="C323" s="1" t="s">
        <v>33</v>
      </c>
      <c r="D323" s="2">
        <v>90000</v>
      </c>
      <c r="E323" s="2" t="str">
        <f>IF(bike_buyers[[#This Row],[Income]]&lt;40000,"Under 40K", IF(bike_buyers[[#This Row],[Income]]&lt;60000,"40K-59K", IF(bike_buyers[[#This Row],[Income]]&lt;80000,"60K-79K", IF(bike_buyers[[#This Row],[Income]]&lt;100000,"80K-99K","100K+"))))</f>
        <v>80K-99K</v>
      </c>
      <c r="F323">
        <v>5</v>
      </c>
      <c r="G323" s="1" t="s">
        <v>28</v>
      </c>
      <c r="H323" s="1" t="s">
        <v>13</v>
      </c>
      <c r="I323" s="1" t="s">
        <v>14</v>
      </c>
      <c r="J323">
        <v>2</v>
      </c>
      <c r="K323" s="1" t="s">
        <v>62</v>
      </c>
      <c r="L323" s="1" t="s">
        <v>16</v>
      </c>
      <c r="M323">
        <v>59</v>
      </c>
      <c r="N323" s="1" t="str" cm="1">
        <f t="array" ref="N323">_xlfn.IFS(M323&lt;40, " Adult", M323&lt;60, "Middle Age", M323&gt;=60, "Older Adult")</f>
        <v>Middle Age</v>
      </c>
      <c r="O323" s="1" t="s">
        <v>17</v>
      </c>
      <c r="P323" s="1" t="b">
        <f>IF(O323="Yes", 1)</f>
        <v>0</v>
      </c>
      <c r="Q323" s="1"/>
    </row>
    <row r="324" spans="1:17" x14ac:dyDescent="0.25">
      <c r="A324">
        <v>24898</v>
      </c>
      <c r="B324" s="1" t="s">
        <v>34</v>
      </c>
      <c r="C324" s="1" t="s">
        <v>33</v>
      </c>
      <c r="D324" s="2">
        <v>80000</v>
      </c>
      <c r="E324" s="2" t="str">
        <f>IF(bike_buyers[[#This Row],[Income]]&lt;40000,"Under 40K", IF(bike_buyers[[#This Row],[Income]]&lt;60000,"40K-59K", IF(bike_buyers[[#This Row],[Income]]&lt;80000,"60K-79K", IF(bike_buyers[[#This Row],[Income]]&lt;100000,"80K-99K","100K+"))))</f>
        <v>80K-99K</v>
      </c>
      <c r="F324">
        <v>0</v>
      </c>
      <c r="G324" s="1" t="s">
        <v>12</v>
      </c>
      <c r="H324" s="1" t="s">
        <v>20</v>
      </c>
      <c r="I324" s="1" t="s">
        <v>14</v>
      </c>
      <c r="J324">
        <v>3</v>
      </c>
      <c r="K324" s="1" t="s">
        <v>62</v>
      </c>
      <c r="L324" s="1" t="s">
        <v>23</v>
      </c>
      <c r="M324">
        <v>32</v>
      </c>
      <c r="N324" s="1" t="str" cm="1">
        <f t="array" ref="N324">_xlfn.IFS(M324&lt;40, " Adult", M324&lt;60, "Middle Age", M324&gt;=60, "Older Adult")</f>
        <v xml:space="preserve"> Adult</v>
      </c>
      <c r="O324" s="1" t="s">
        <v>17</v>
      </c>
      <c r="P324" s="1" t="b">
        <f>IF(O324="Yes", 1)</f>
        <v>0</v>
      </c>
      <c r="Q324" s="1"/>
    </row>
    <row r="325" spans="1:17" x14ac:dyDescent="0.25">
      <c r="A325">
        <v>25241</v>
      </c>
      <c r="B325" s="1" t="s">
        <v>31</v>
      </c>
      <c r="C325" s="1" t="s">
        <v>32</v>
      </c>
      <c r="D325" s="2">
        <v>90000</v>
      </c>
      <c r="E325" s="2" t="str">
        <f>IF(bike_buyers[[#This Row],[Income]]&lt;40000,"Under 40K", IF(bike_buyers[[#This Row],[Income]]&lt;60000,"40K-59K", IF(bike_buyers[[#This Row],[Income]]&lt;80000,"60K-79K", IF(bike_buyers[[#This Row],[Income]]&lt;100000,"80K-99K","100K+"))))</f>
        <v>80K-99K</v>
      </c>
      <c r="F325">
        <v>2</v>
      </c>
      <c r="G325" s="1" t="s">
        <v>12</v>
      </c>
      <c r="H325" s="1" t="s">
        <v>20</v>
      </c>
      <c r="I325" s="1" t="s">
        <v>14</v>
      </c>
      <c r="J325">
        <v>1</v>
      </c>
      <c r="K325" s="1" t="s">
        <v>22</v>
      </c>
      <c r="L325" s="1" t="s">
        <v>23</v>
      </c>
      <c r="M325">
        <v>47</v>
      </c>
      <c r="N325" s="1" t="str" cm="1">
        <f t="array" ref="N325">_xlfn.IFS(M325&lt;40, " Adult", M325&lt;60, "Middle Age", M325&gt;=60, "Older Adult")</f>
        <v>Middle Age</v>
      </c>
      <c r="O325" s="1" t="s">
        <v>17</v>
      </c>
      <c r="P325" s="1" t="b">
        <f>IF(O325="Yes", 1)</f>
        <v>0</v>
      </c>
      <c r="Q325" s="1"/>
    </row>
    <row r="326" spans="1:17" x14ac:dyDescent="0.25">
      <c r="A326">
        <v>24369</v>
      </c>
      <c r="B326" s="1" t="s">
        <v>31</v>
      </c>
      <c r="C326" s="1" t="s">
        <v>32</v>
      </c>
      <c r="D326" s="2">
        <v>80000</v>
      </c>
      <c r="E326" s="2" t="str">
        <f>IF(bike_buyers[[#This Row],[Income]]&lt;40000,"Under 40K", IF(bike_buyers[[#This Row],[Income]]&lt;60000,"40K-59K", IF(bike_buyers[[#This Row],[Income]]&lt;80000,"60K-79K", IF(bike_buyers[[#This Row],[Income]]&lt;100000,"80K-99K","100K+"))))</f>
        <v>80K-99K</v>
      </c>
      <c r="F326">
        <v>5</v>
      </c>
      <c r="G326" s="1" t="s">
        <v>29</v>
      </c>
      <c r="H326" s="1" t="s">
        <v>27</v>
      </c>
      <c r="I326" s="1" t="s">
        <v>17</v>
      </c>
      <c r="J326">
        <v>2</v>
      </c>
      <c r="K326" s="1" t="s">
        <v>15</v>
      </c>
      <c r="L326" s="1" t="s">
        <v>23</v>
      </c>
      <c r="M326">
        <v>39</v>
      </c>
      <c r="N326" s="1" t="str" cm="1">
        <f t="array" ref="N326">_xlfn.IFS(M326&lt;40, " Adult", M326&lt;60, "Middle Age", M326&gt;=60, "Older Adult")</f>
        <v xml:space="preserve"> Adult</v>
      </c>
      <c r="O326" s="1" t="s">
        <v>17</v>
      </c>
      <c r="P326" s="1" t="b">
        <f>IF(O326="Yes", 1)</f>
        <v>0</v>
      </c>
      <c r="Q326" s="1"/>
    </row>
    <row r="327" spans="1:17" x14ac:dyDescent="0.25">
      <c r="A327">
        <v>27941</v>
      </c>
      <c r="B327" s="1" t="s">
        <v>31</v>
      </c>
      <c r="C327" s="1" t="s">
        <v>33</v>
      </c>
      <c r="D327" s="2">
        <v>80000</v>
      </c>
      <c r="E327" s="2" t="str">
        <f>IF(bike_buyers[[#This Row],[Income]]&lt;40000,"Under 40K", IF(bike_buyers[[#This Row],[Income]]&lt;60000,"40K-59K", IF(bike_buyers[[#This Row],[Income]]&lt;80000,"60K-79K", IF(bike_buyers[[#This Row],[Income]]&lt;100000,"80K-99K","100K+"))))</f>
        <v>80K-99K</v>
      </c>
      <c r="F327">
        <v>4</v>
      </c>
      <c r="G327" s="1" t="s">
        <v>18</v>
      </c>
      <c r="H327" s="1" t="s">
        <v>20</v>
      </c>
      <c r="I327" s="1" t="s">
        <v>14</v>
      </c>
      <c r="J327">
        <v>2</v>
      </c>
      <c r="K327" s="1" t="s">
        <v>21</v>
      </c>
      <c r="L327" s="1" t="s">
        <v>16</v>
      </c>
      <c r="M327">
        <v>53</v>
      </c>
      <c r="N327" s="1" t="str" cm="1">
        <f t="array" ref="N327">_xlfn.IFS(M327&lt;40, " Adult", M327&lt;60, "Middle Age", M327&gt;=60, "Older Adult")</f>
        <v>Middle Age</v>
      </c>
      <c r="O327" s="1" t="s">
        <v>17</v>
      </c>
      <c r="P327" s="1" t="b">
        <f>IF(O327="Yes", 1)</f>
        <v>0</v>
      </c>
      <c r="Q327" s="1"/>
    </row>
    <row r="328" spans="1:17" x14ac:dyDescent="0.25">
      <c r="A328">
        <v>17238</v>
      </c>
      <c r="B328" s="1" t="s">
        <v>34</v>
      </c>
      <c r="C328" s="1" t="s">
        <v>32</v>
      </c>
      <c r="D328" s="2">
        <v>80000</v>
      </c>
      <c r="E328" s="2" t="str">
        <f>IF(bike_buyers[[#This Row],[Income]]&lt;40000,"Under 40K", IF(bike_buyers[[#This Row],[Income]]&lt;60000,"40K-59K", IF(bike_buyers[[#This Row],[Income]]&lt;80000,"60K-79K", IF(bike_buyers[[#This Row],[Income]]&lt;100000,"80K-99K","100K+"))))</f>
        <v>80K-99K</v>
      </c>
      <c r="F328">
        <v>0</v>
      </c>
      <c r="G328" s="1" t="s">
        <v>12</v>
      </c>
      <c r="H328" s="1" t="s">
        <v>20</v>
      </c>
      <c r="I328" s="1" t="s">
        <v>14</v>
      </c>
      <c r="J328">
        <v>3</v>
      </c>
      <c r="K328" s="1" t="s">
        <v>62</v>
      </c>
      <c r="L328" s="1" t="s">
        <v>23</v>
      </c>
      <c r="M328">
        <v>32</v>
      </c>
      <c r="N328" s="1" t="str" cm="1">
        <f t="array" ref="N328">_xlfn.IFS(M328&lt;40, " Adult", M328&lt;60, "Middle Age", M328&gt;=60, "Older Adult")</f>
        <v xml:space="preserve"> Adult</v>
      </c>
      <c r="O328" s="1" t="s">
        <v>17</v>
      </c>
      <c r="P328" s="1" t="b">
        <f>IF(O328="Yes", 1)</f>
        <v>0</v>
      </c>
      <c r="Q328" s="1"/>
    </row>
    <row r="329" spans="1:17" x14ac:dyDescent="0.25">
      <c r="A329">
        <v>12332</v>
      </c>
      <c r="B329" s="1" t="s">
        <v>31</v>
      </c>
      <c r="C329" s="1" t="s">
        <v>32</v>
      </c>
      <c r="D329" s="2">
        <v>90000</v>
      </c>
      <c r="E329" s="2" t="str">
        <f>IF(bike_buyers[[#This Row],[Income]]&lt;40000,"Under 40K", IF(bike_buyers[[#This Row],[Income]]&lt;60000,"40K-59K", IF(bike_buyers[[#This Row],[Income]]&lt;80000,"60K-79K", IF(bike_buyers[[#This Row],[Income]]&lt;100000,"80K-99K","100K+"))))</f>
        <v>80K-99K</v>
      </c>
      <c r="F329">
        <v>4</v>
      </c>
      <c r="G329" s="1" t="s">
        <v>26</v>
      </c>
      <c r="H329" s="1" t="s">
        <v>27</v>
      </c>
      <c r="I329" s="1" t="s">
        <v>14</v>
      </c>
      <c r="J329">
        <v>3</v>
      </c>
      <c r="K329" s="1" t="s">
        <v>22</v>
      </c>
      <c r="L329" s="1" t="s">
        <v>16</v>
      </c>
      <c r="M329">
        <v>58</v>
      </c>
      <c r="N329" s="1" t="str" cm="1">
        <f t="array" ref="N329">_xlfn.IFS(M329&lt;40, " Adult", M329&lt;60, "Middle Age", M329&gt;=60, "Older Adult")</f>
        <v>Middle Age</v>
      </c>
      <c r="O329" s="1" t="s">
        <v>14</v>
      </c>
      <c r="P329" s="1">
        <f>IF(O329="Yes", 1)</f>
        <v>1</v>
      </c>
      <c r="Q329" s="1"/>
    </row>
    <row r="330" spans="1:17" x14ac:dyDescent="0.25">
      <c r="A330">
        <v>17230</v>
      </c>
      <c r="B330" s="1" t="s">
        <v>31</v>
      </c>
      <c r="C330" s="1" t="s">
        <v>32</v>
      </c>
      <c r="D330" s="2">
        <v>80000</v>
      </c>
      <c r="E330" s="2" t="str">
        <f>IF(bike_buyers[[#This Row],[Income]]&lt;40000,"Under 40K", IF(bike_buyers[[#This Row],[Income]]&lt;60000,"40K-59K", IF(bike_buyers[[#This Row],[Income]]&lt;80000,"60K-79K", IF(bike_buyers[[#This Row],[Income]]&lt;100000,"80K-99K","100K+"))))</f>
        <v>80K-99K</v>
      </c>
      <c r="F330">
        <v>0</v>
      </c>
      <c r="G330" s="1" t="s">
        <v>12</v>
      </c>
      <c r="H330" s="1" t="s">
        <v>20</v>
      </c>
      <c r="I330" s="1" t="s">
        <v>14</v>
      </c>
      <c r="J330">
        <v>3</v>
      </c>
      <c r="K330" s="1" t="s">
        <v>62</v>
      </c>
      <c r="L330" s="1" t="s">
        <v>23</v>
      </c>
      <c r="M330">
        <v>30</v>
      </c>
      <c r="N330" s="1" t="str" cm="1">
        <f t="array" ref="N330">_xlfn.IFS(M330&lt;40, " Adult", M330&lt;60, "Middle Age", M330&gt;=60, "Older Adult")</f>
        <v xml:space="preserve"> Adult</v>
      </c>
      <c r="O330" s="1" t="s">
        <v>17</v>
      </c>
      <c r="P330" s="1" t="b">
        <f>IF(O330="Yes", 1)</f>
        <v>0</v>
      </c>
      <c r="Q330" s="1"/>
    </row>
    <row r="331" spans="1:17" x14ac:dyDescent="0.25">
      <c r="A331">
        <v>22918</v>
      </c>
      <c r="B331" s="1" t="s">
        <v>34</v>
      </c>
      <c r="C331" s="1" t="s">
        <v>32</v>
      </c>
      <c r="D331" s="2">
        <v>80000</v>
      </c>
      <c r="E331" s="2" t="str">
        <f>IF(bike_buyers[[#This Row],[Income]]&lt;40000,"Under 40K", IF(bike_buyers[[#This Row],[Income]]&lt;60000,"40K-59K", IF(bike_buyers[[#This Row],[Income]]&lt;80000,"60K-79K", IF(bike_buyers[[#This Row],[Income]]&lt;100000,"80K-99K","100K+"))))</f>
        <v>80K-99K</v>
      </c>
      <c r="F331">
        <v>5</v>
      </c>
      <c r="G331" s="1" t="s">
        <v>29</v>
      </c>
      <c r="H331" s="1" t="s">
        <v>27</v>
      </c>
      <c r="I331" s="1" t="s">
        <v>14</v>
      </c>
      <c r="J331">
        <v>3</v>
      </c>
      <c r="K331" s="1" t="s">
        <v>15</v>
      </c>
      <c r="L331" s="1" t="s">
        <v>23</v>
      </c>
      <c r="M331">
        <v>50</v>
      </c>
      <c r="N331" s="1" t="str" cm="1">
        <f t="array" ref="N331">_xlfn.IFS(M331&lt;40, " Adult", M331&lt;60, "Middle Age", M331&gt;=60, "Older Adult")</f>
        <v>Middle Age</v>
      </c>
      <c r="O331" s="1" t="s">
        <v>17</v>
      </c>
      <c r="P331" s="1" t="b">
        <f>IF(O331="Yes", 1)</f>
        <v>0</v>
      </c>
      <c r="Q331" s="1"/>
    </row>
    <row r="332" spans="1:17" x14ac:dyDescent="0.25">
      <c r="A332">
        <v>16179</v>
      </c>
      <c r="B332" s="1" t="s">
        <v>34</v>
      </c>
      <c r="C332" s="1" t="s">
        <v>33</v>
      </c>
      <c r="D332" s="2">
        <v>80000</v>
      </c>
      <c r="E332" s="2" t="str">
        <f>IF(bike_buyers[[#This Row],[Income]]&lt;40000,"Under 40K", IF(bike_buyers[[#This Row],[Income]]&lt;60000,"40K-59K", IF(bike_buyers[[#This Row],[Income]]&lt;80000,"60K-79K", IF(bike_buyers[[#This Row],[Income]]&lt;100000,"80K-99K","100K+"))))</f>
        <v>80K-99K</v>
      </c>
      <c r="F332">
        <v>5</v>
      </c>
      <c r="G332" s="1" t="s">
        <v>12</v>
      </c>
      <c r="H332" s="1" t="s">
        <v>20</v>
      </c>
      <c r="I332" s="1" t="s">
        <v>14</v>
      </c>
      <c r="J332">
        <v>4</v>
      </c>
      <c r="K332" s="1" t="s">
        <v>25</v>
      </c>
      <c r="L332" s="1" t="s">
        <v>23</v>
      </c>
      <c r="M332">
        <v>38</v>
      </c>
      <c r="N332" s="1" t="str" cm="1">
        <f t="array" ref="N332">_xlfn.IFS(M332&lt;40, " Adult", M332&lt;60, "Middle Age", M332&gt;=60, "Older Adult")</f>
        <v xml:space="preserve"> Adult</v>
      </c>
      <c r="O332" s="1" t="s">
        <v>17</v>
      </c>
      <c r="P332" s="1" t="b">
        <f>IF(O332="Yes", 1)</f>
        <v>0</v>
      </c>
      <c r="Q332" s="1"/>
    </row>
    <row r="333" spans="1:17" x14ac:dyDescent="0.25">
      <c r="A333">
        <v>13586</v>
      </c>
      <c r="B333" s="1" t="s">
        <v>31</v>
      </c>
      <c r="C333" s="1" t="s">
        <v>32</v>
      </c>
      <c r="D333" s="2">
        <v>80000</v>
      </c>
      <c r="E333" s="2" t="str">
        <f>IF(bike_buyers[[#This Row],[Income]]&lt;40000,"Under 40K", IF(bike_buyers[[#This Row],[Income]]&lt;60000,"40K-59K", IF(bike_buyers[[#This Row],[Income]]&lt;80000,"60K-79K", IF(bike_buyers[[#This Row],[Income]]&lt;100000,"80K-99K","100K+"))))</f>
        <v>80K-99K</v>
      </c>
      <c r="F333">
        <v>4</v>
      </c>
      <c r="G333" s="1" t="s">
        <v>18</v>
      </c>
      <c r="H333" s="1" t="s">
        <v>20</v>
      </c>
      <c r="I333" s="1" t="s">
        <v>14</v>
      </c>
      <c r="J333">
        <v>2</v>
      </c>
      <c r="K333" s="1" t="s">
        <v>62</v>
      </c>
      <c r="L333" s="1" t="s">
        <v>16</v>
      </c>
      <c r="M333">
        <v>53</v>
      </c>
      <c r="N333" s="1" t="str" cm="1">
        <f t="array" ref="N333">_xlfn.IFS(M333&lt;40, " Adult", M333&lt;60, "Middle Age", M333&gt;=60, "Older Adult")</f>
        <v>Middle Age</v>
      </c>
      <c r="O333" s="1" t="s">
        <v>17</v>
      </c>
      <c r="P333" s="1" t="b">
        <f>IF(O333="Yes", 1)</f>
        <v>0</v>
      </c>
      <c r="Q333" s="1"/>
    </row>
    <row r="334" spans="1:17" x14ac:dyDescent="0.25">
      <c r="A334">
        <v>13122</v>
      </c>
      <c r="B334" s="1" t="s">
        <v>31</v>
      </c>
      <c r="C334" s="1" t="s">
        <v>33</v>
      </c>
      <c r="D334" s="2">
        <v>80000</v>
      </c>
      <c r="E334" s="2" t="str">
        <f>IF(bike_buyers[[#This Row],[Income]]&lt;40000,"Under 40K", IF(bike_buyers[[#This Row],[Income]]&lt;60000,"40K-59K", IF(bike_buyers[[#This Row],[Income]]&lt;80000,"60K-79K", IF(bike_buyers[[#This Row],[Income]]&lt;100000,"80K-99K","100K+"))))</f>
        <v>80K-99K</v>
      </c>
      <c r="F334">
        <v>0</v>
      </c>
      <c r="G334" s="1" t="s">
        <v>12</v>
      </c>
      <c r="H334" s="1" t="s">
        <v>20</v>
      </c>
      <c r="I334" s="1" t="s">
        <v>14</v>
      </c>
      <c r="J334">
        <v>1</v>
      </c>
      <c r="K334" s="1" t="s">
        <v>25</v>
      </c>
      <c r="L334" s="1" t="s">
        <v>23</v>
      </c>
      <c r="M334">
        <v>41</v>
      </c>
      <c r="N334" s="1" t="str" cm="1">
        <f t="array" ref="N334">_xlfn.IFS(M334&lt;40, " Adult", M334&lt;60, "Middle Age", M334&gt;=60, "Older Adult")</f>
        <v>Middle Age</v>
      </c>
      <c r="O334" s="1" t="s">
        <v>14</v>
      </c>
      <c r="P334" s="1">
        <f>IF(O334="Yes", 1)</f>
        <v>1</v>
      </c>
      <c r="Q334" s="1"/>
    </row>
    <row r="335" spans="1:17" x14ac:dyDescent="0.25">
      <c r="A335">
        <v>27582</v>
      </c>
      <c r="B335" s="1" t="s">
        <v>34</v>
      </c>
      <c r="C335" s="1" t="s">
        <v>33</v>
      </c>
      <c r="D335" s="2">
        <v>90000</v>
      </c>
      <c r="E335" s="2" t="str">
        <f>IF(bike_buyers[[#This Row],[Income]]&lt;40000,"Under 40K", IF(bike_buyers[[#This Row],[Income]]&lt;60000,"40K-59K", IF(bike_buyers[[#This Row],[Income]]&lt;80000,"60K-79K", IF(bike_buyers[[#This Row],[Income]]&lt;100000,"80K-99K","100K+"))))</f>
        <v>80K-99K</v>
      </c>
      <c r="F335">
        <v>2</v>
      </c>
      <c r="G335" s="1" t="s">
        <v>12</v>
      </c>
      <c r="H335" s="1" t="s">
        <v>20</v>
      </c>
      <c r="I335" s="1" t="s">
        <v>17</v>
      </c>
      <c r="J335">
        <v>0</v>
      </c>
      <c r="K335" s="1" t="s">
        <v>15</v>
      </c>
      <c r="L335" s="1" t="s">
        <v>23</v>
      </c>
      <c r="M335">
        <v>36</v>
      </c>
      <c r="N335" s="1" t="str" cm="1">
        <f t="array" ref="N335">_xlfn.IFS(M335&lt;40, " Adult", M335&lt;60, "Middle Age", M335&gt;=60, "Older Adult")</f>
        <v xml:space="preserve"> Adult</v>
      </c>
      <c r="O335" s="1" t="s">
        <v>14</v>
      </c>
      <c r="P335" s="1">
        <f>IF(O335="Yes", 1)</f>
        <v>1</v>
      </c>
      <c r="Q335" s="1"/>
    </row>
    <row r="336" spans="1:17" x14ac:dyDescent="0.25">
      <c r="A336">
        <v>13961</v>
      </c>
      <c r="B336" s="1" t="s">
        <v>31</v>
      </c>
      <c r="C336" s="1" t="s">
        <v>33</v>
      </c>
      <c r="D336" s="2">
        <v>80000</v>
      </c>
      <c r="E336" s="2" t="str">
        <f>IF(bike_buyers[[#This Row],[Income]]&lt;40000,"Under 40K", IF(bike_buyers[[#This Row],[Income]]&lt;60000,"40K-59K", IF(bike_buyers[[#This Row],[Income]]&lt;80000,"60K-79K", IF(bike_buyers[[#This Row],[Income]]&lt;100000,"80K-99K","100K+"))))</f>
        <v>80K-99K</v>
      </c>
      <c r="F336">
        <v>5</v>
      </c>
      <c r="G336" s="1" t="s">
        <v>29</v>
      </c>
      <c r="H336" s="1" t="s">
        <v>27</v>
      </c>
      <c r="I336" s="1" t="s">
        <v>14</v>
      </c>
      <c r="J336">
        <v>3</v>
      </c>
      <c r="K336" s="1" t="s">
        <v>15</v>
      </c>
      <c r="L336" s="1" t="s">
        <v>23</v>
      </c>
      <c r="M336">
        <v>40</v>
      </c>
      <c r="N336" s="1" t="str" cm="1">
        <f t="array" ref="N336">_xlfn.IFS(M336&lt;40, " Adult", M336&lt;60, "Middle Age", M336&gt;=60, "Older Adult")</f>
        <v>Middle Age</v>
      </c>
      <c r="O336" s="1" t="s">
        <v>17</v>
      </c>
      <c r="P336" s="1" t="b">
        <f>IF(O336="Yes", 1)</f>
        <v>0</v>
      </c>
      <c r="Q336" s="1"/>
    </row>
    <row r="337" spans="1:17" x14ac:dyDescent="0.25">
      <c r="A337">
        <v>17048</v>
      </c>
      <c r="B337" s="1" t="s">
        <v>34</v>
      </c>
      <c r="C337" s="1" t="s">
        <v>33</v>
      </c>
      <c r="D337" s="2">
        <v>90000</v>
      </c>
      <c r="E337" s="2" t="str">
        <f>IF(bike_buyers[[#This Row],[Income]]&lt;40000,"Under 40K", IF(bike_buyers[[#This Row],[Income]]&lt;60000,"40K-59K", IF(bike_buyers[[#This Row],[Income]]&lt;80000,"60K-79K", IF(bike_buyers[[#This Row],[Income]]&lt;100000,"80K-99K","100K+"))))</f>
        <v>80K-99K</v>
      </c>
      <c r="F337">
        <v>1</v>
      </c>
      <c r="G337" s="1" t="s">
        <v>29</v>
      </c>
      <c r="H337" s="1" t="s">
        <v>27</v>
      </c>
      <c r="I337" s="1" t="s">
        <v>14</v>
      </c>
      <c r="J337">
        <v>0</v>
      </c>
      <c r="K337" s="1" t="s">
        <v>15</v>
      </c>
      <c r="L337" s="1" t="s">
        <v>23</v>
      </c>
      <c r="M337">
        <v>36</v>
      </c>
      <c r="N337" s="1" t="str" cm="1">
        <f t="array" ref="N337">_xlfn.IFS(M337&lt;40, " Adult", M337&lt;60, "Middle Age", M337&gt;=60, "Older Adult")</f>
        <v xml:space="preserve"> Adult</v>
      </c>
      <c r="O337" s="1" t="s">
        <v>14</v>
      </c>
      <c r="P337" s="1">
        <f>IF(O337="Yes", 1)</f>
        <v>1</v>
      </c>
      <c r="Q337" s="1"/>
    </row>
    <row r="338" spans="1:17" x14ac:dyDescent="0.25">
      <c r="A338">
        <v>19784</v>
      </c>
      <c r="B338" s="1" t="s">
        <v>31</v>
      </c>
      <c r="C338" s="1" t="s">
        <v>33</v>
      </c>
      <c r="D338" s="2">
        <v>80000</v>
      </c>
      <c r="E338" s="2" t="str">
        <f>IF(bike_buyers[[#This Row],[Income]]&lt;40000,"Under 40K", IF(bike_buyers[[#This Row],[Income]]&lt;60000,"40K-59K", IF(bike_buyers[[#This Row],[Income]]&lt;80000,"60K-79K", IF(bike_buyers[[#This Row],[Income]]&lt;100000,"80K-99K","100K+"))))</f>
        <v>80K-99K</v>
      </c>
      <c r="F338">
        <v>2</v>
      </c>
      <c r="G338" s="1" t="s">
        <v>26</v>
      </c>
      <c r="H338" s="1" t="s">
        <v>13</v>
      </c>
      <c r="I338" s="1" t="s">
        <v>14</v>
      </c>
      <c r="J338">
        <v>2</v>
      </c>
      <c r="K338" s="1" t="s">
        <v>22</v>
      </c>
      <c r="L338" s="1" t="s">
        <v>23</v>
      </c>
      <c r="M338">
        <v>50</v>
      </c>
      <c r="N338" s="1" t="str" cm="1">
        <f t="array" ref="N338">_xlfn.IFS(M338&lt;40, " Adult", M338&lt;60, "Middle Age", M338&gt;=60, "Older Adult")</f>
        <v>Middle Age</v>
      </c>
      <c r="O338" s="1" t="s">
        <v>14</v>
      </c>
      <c r="P338" s="1">
        <f>IF(O338="Yes", 1)</f>
        <v>1</v>
      </c>
      <c r="Q338" s="1"/>
    </row>
    <row r="339" spans="1:17" x14ac:dyDescent="0.25">
      <c r="A339">
        <v>24093</v>
      </c>
      <c r="B339" s="1" t="s">
        <v>34</v>
      </c>
      <c r="C339" s="1" t="s">
        <v>33</v>
      </c>
      <c r="D339" s="2">
        <v>80000</v>
      </c>
      <c r="E339" s="2" t="str">
        <f>IF(bike_buyers[[#This Row],[Income]]&lt;40000,"Under 40K", IF(bike_buyers[[#This Row],[Income]]&lt;60000,"40K-59K", IF(bike_buyers[[#This Row],[Income]]&lt;80000,"60K-79K", IF(bike_buyers[[#This Row],[Income]]&lt;100000,"80K-99K","100K+"))))</f>
        <v>80K-99K</v>
      </c>
      <c r="F339">
        <v>0</v>
      </c>
      <c r="G339" s="1" t="s">
        <v>29</v>
      </c>
      <c r="H339" s="1" t="s">
        <v>13</v>
      </c>
      <c r="I339" s="1" t="s">
        <v>17</v>
      </c>
      <c r="J339">
        <v>0</v>
      </c>
      <c r="K339" s="1" t="s">
        <v>15</v>
      </c>
      <c r="L339" s="1" t="s">
        <v>16</v>
      </c>
      <c r="M339">
        <v>40</v>
      </c>
      <c r="N339" s="1" t="str" cm="1">
        <f t="array" ref="N339">_xlfn.IFS(M339&lt;40, " Adult", M339&lt;60, "Middle Age", M339&gt;=60, "Older Adult")</f>
        <v>Middle Age</v>
      </c>
      <c r="O339" s="1" t="s">
        <v>14</v>
      </c>
      <c r="P339" s="1">
        <f>IF(O339="Yes", 1)</f>
        <v>1</v>
      </c>
      <c r="Q339" s="1"/>
    </row>
    <row r="340" spans="1:17" x14ac:dyDescent="0.25">
      <c r="A340">
        <v>21561</v>
      </c>
      <c r="B340" s="1" t="s">
        <v>34</v>
      </c>
      <c r="C340" s="1" t="s">
        <v>32</v>
      </c>
      <c r="D340" s="2">
        <v>90000</v>
      </c>
      <c r="E340" s="2" t="str">
        <f>IF(bike_buyers[[#This Row],[Income]]&lt;40000,"Under 40K", IF(bike_buyers[[#This Row],[Income]]&lt;60000,"40K-59K", IF(bike_buyers[[#This Row],[Income]]&lt;80000,"60K-79K", IF(bike_buyers[[#This Row],[Income]]&lt;100000,"80K-99K","100K+"))))</f>
        <v>80K-99K</v>
      </c>
      <c r="F340">
        <v>0</v>
      </c>
      <c r="G340" s="1" t="s">
        <v>12</v>
      </c>
      <c r="H340" s="1" t="s">
        <v>20</v>
      </c>
      <c r="I340" s="1" t="s">
        <v>17</v>
      </c>
      <c r="J340">
        <v>3</v>
      </c>
      <c r="K340" s="1" t="s">
        <v>62</v>
      </c>
      <c r="L340" s="1" t="s">
        <v>23</v>
      </c>
      <c r="M340">
        <v>34</v>
      </c>
      <c r="N340" s="1" t="str" cm="1">
        <f t="array" ref="N340">_xlfn.IFS(M340&lt;40, " Adult", M340&lt;60, "Middle Age", M340&gt;=60, "Older Adult")</f>
        <v xml:space="preserve"> Adult</v>
      </c>
      <c r="O340" s="1" t="s">
        <v>14</v>
      </c>
      <c r="P340" s="1">
        <f>IF(O340="Yes", 1)</f>
        <v>1</v>
      </c>
      <c r="Q340" s="1"/>
    </row>
    <row r="341" spans="1:17" x14ac:dyDescent="0.25">
      <c r="A341">
        <v>26651</v>
      </c>
      <c r="B341" s="1" t="s">
        <v>34</v>
      </c>
      <c r="C341" s="1" t="s">
        <v>32</v>
      </c>
      <c r="D341" s="2">
        <v>80000</v>
      </c>
      <c r="E341" s="2" t="str">
        <f>IF(bike_buyers[[#This Row],[Income]]&lt;40000,"Under 40K", IF(bike_buyers[[#This Row],[Income]]&lt;60000,"40K-59K", IF(bike_buyers[[#This Row],[Income]]&lt;80000,"60K-79K", IF(bike_buyers[[#This Row],[Income]]&lt;100000,"80K-99K","100K+"))))</f>
        <v>80K-99K</v>
      </c>
      <c r="F341">
        <v>4</v>
      </c>
      <c r="G341" s="1" t="s">
        <v>29</v>
      </c>
      <c r="H341" s="1" t="s">
        <v>27</v>
      </c>
      <c r="I341" s="1" t="s">
        <v>14</v>
      </c>
      <c r="J341">
        <v>0</v>
      </c>
      <c r="K341" s="1" t="s">
        <v>15</v>
      </c>
      <c r="L341" s="1" t="s">
        <v>23</v>
      </c>
      <c r="M341">
        <v>36</v>
      </c>
      <c r="N341" s="1" t="str" cm="1">
        <f t="array" ref="N341">_xlfn.IFS(M341&lt;40, " Adult", M341&lt;60, "Middle Age", M341&gt;=60, "Older Adult")</f>
        <v xml:space="preserve"> Adult</v>
      </c>
      <c r="O341" s="1" t="s">
        <v>14</v>
      </c>
      <c r="P341" s="1">
        <f>IF(O341="Yes", 1)</f>
        <v>1</v>
      </c>
      <c r="Q341" s="1"/>
    </row>
    <row r="342" spans="1:17" x14ac:dyDescent="0.25">
      <c r="A342">
        <v>13585</v>
      </c>
      <c r="B342" s="1" t="s">
        <v>31</v>
      </c>
      <c r="C342" s="1" t="s">
        <v>33</v>
      </c>
      <c r="D342" s="2">
        <v>80000</v>
      </c>
      <c r="E342" s="2" t="str">
        <f>IF(bike_buyers[[#This Row],[Income]]&lt;40000,"Under 40K", IF(bike_buyers[[#This Row],[Income]]&lt;60000,"40K-59K", IF(bike_buyers[[#This Row],[Income]]&lt;80000,"60K-79K", IF(bike_buyers[[#This Row],[Income]]&lt;100000,"80K-99K","100K+"))))</f>
        <v>80K-99K</v>
      </c>
      <c r="F342">
        <v>4</v>
      </c>
      <c r="G342" s="1" t="s">
        <v>18</v>
      </c>
      <c r="H342" s="1" t="s">
        <v>20</v>
      </c>
      <c r="I342" s="1" t="s">
        <v>17</v>
      </c>
      <c r="J342">
        <v>1</v>
      </c>
      <c r="K342" s="1" t="s">
        <v>21</v>
      </c>
      <c r="L342" s="1" t="s">
        <v>16</v>
      </c>
      <c r="M342">
        <v>53</v>
      </c>
      <c r="N342" s="1" t="str" cm="1">
        <f t="array" ref="N342">_xlfn.IFS(M342&lt;40, " Adult", M342&lt;60, "Middle Age", M342&gt;=60, "Older Adult")</f>
        <v>Middle Age</v>
      </c>
      <c r="O342" s="1" t="s">
        <v>14</v>
      </c>
      <c r="P342" s="1">
        <f>IF(O342="Yes", 1)</f>
        <v>1</v>
      </c>
      <c r="Q342" s="1"/>
    </row>
    <row r="343" spans="1:17" x14ac:dyDescent="0.25">
      <c r="A343">
        <v>21554</v>
      </c>
      <c r="B343" s="1" t="s">
        <v>34</v>
      </c>
      <c r="C343" s="1" t="s">
        <v>33</v>
      </c>
      <c r="D343" s="2">
        <v>80000</v>
      </c>
      <c r="E343" s="2" t="str">
        <f>IF(bike_buyers[[#This Row],[Income]]&lt;40000,"Under 40K", IF(bike_buyers[[#This Row],[Income]]&lt;60000,"40K-59K", IF(bike_buyers[[#This Row],[Income]]&lt;80000,"60K-79K", IF(bike_buyers[[#This Row],[Income]]&lt;100000,"80K-99K","100K+"))))</f>
        <v>80K-99K</v>
      </c>
      <c r="F343">
        <v>0</v>
      </c>
      <c r="G343" s="1" t="s">
        <v>12</v>
      </c>
      <c r="H343" s="1" t="s">
        <v>20</v>
      </c>
      <c r="I343" s="1" t="s">
        <v>17</v>
      </c>
      <c r="J343">
        <v>3</v>
      </c>
      <c r="K343" s="1" t="s">
        <v>62</v>
      </c>
      <c r="L343" s="1" t="s">
        <v>23</v>
      </c>
      <c r="M343">
        <v>33</v>
      </c>
      <c r="N343" s="1" t="str" cm="1">
        <f t="array" ref="N343">_xlfn.IFS(M343&lt;40, " Adult", M343&lt;60, "Middle Age", M343&gt;=60, "Older Adult")</f>
        <v xml:space="preserve"> Adult</v>
      </c>
      <c r="O343" s="1" t="s">
        <v>17</v>
      </c>
      <c r="P343" s="1" t="b">
        <f>IF(O343="Yes", 1)</f>
        <v>0</v>
      </c>
      <c r="Q343" s="1"/>
    </row>
    <row r="344" spans="1:17" x14ac:dyDescent="0.25">
      <c r="A344">
        <v>18253</v>
      </c>
      <c r="B344" s="1" t="s">
        <v>31</v>
      </c>
      <c r="C344" s="1" t="s">
        <v>33</v>
      </c>
      <c r="D344" s="2">
        <v>80000</v>
      </c>
      <c r="E344" s="2" t="str">
        <f>IF(bike_buyers[[#This Row],[Income]]&lt;40000,"Under 40K", IF(bike_buyers[[#This Row],[Income]]&lt;60000,"40K-59K", IF(bike_buyers[[#This Row],[Income]]&lt;80000,"60K-79K", IF(bike_buyers[[#This Row],[Income]]&lt;100000,"80K-99K","100K+"))))</f>
        <v>80K-99K</v>
      </c>
      <c r="F344">
        <v>5</v>
      </c>
      <c r="G344" s="1" t="s">
        <v>29</v>
      </c>
      <c r="H344" s="1" t="s">
        <v>27</v>
      </c>
      <c r="I344" s="1" t="s">
        <v>14</v>
      </c>
      <c r="J344">
        <v>3</v>
      </c>
      <c r="K344" s="1" t="s">
        <v>15</v>
      </c>
      <c r="L344" s="1" t="s">
        <v>23</v>
      </c>
      <c r="M344">
        <v>40</v>
      </c>
      <c r="N344" s="1" t="str" cm="1">
        <f t="array" ref="N344">_xlfn.IFS(M344&lt;40, " Adult", M344&lt;60, "Middle Age", M344&gt;=60, "Older Adult")</f>
        <v>Middle Age</v>
      </c>
      <c r="O344" s="1" t="s">
        <v>17</v>
      </c>
      <c r="P344" s="1" t="b">
        <f>IF(O344="Yes", 1)</f>
        <v>0</v>
      </c>
      <c r="Q344" s="1"/>
    </row>
    <row r="345" spans="1:17" x14ac:dyDescent="0.25">
      <c r="A345">
        <v>27585</v>
      </c>
      <c r="B345" s="1" t="s">
        <v>31</v>
      </c>
      <c r="C345" s="1" t="s">
        <v>33</v>
      </c>
      <c r="D345" s="2">
        <v>90000</v>
      </c>
      <c r="E345" s="2" t="str">
        <f>IF(bike_buyers[[#This Row],[Income]]&lt;40000,"Under 40K", IF(bike_buyers[[#This Row],[Income]]&lt;60000,"40K-59K", IF(bike_buyers[[#This Row],[Income]]&lt;80000,"60K-79K", IF(bike_buyers[[#This Row],[Income]]&lt;100000,"80K-99K","100K+"))))</f>
        <v>80K-99K</v>
      </c>
      <c r="F345">
        <v>2</v>
      </c>
      <c r="G345" s="1" t="s">
        <v>12</v>
      </c>
      <c r="H345" s="1" t="s">
        <v>20</v>
      </c>
      <c r="I345" s="1" t="s">
        <v>17</v>
      </c>
      <c r="J345">
        <v>0</v>
      </c>
      <c r="K345" s="1" t="s">
        <v>15</v>
      </c>
      <c r="L345" s="1" t="s">
        <v>23</v>
      </c>
      <c r="M345">
        <v>36</v>
      </c>
      <c r="N345" s="1" t="str" cm="1">
        <f t="array" ref="N345">_xlfn.IFS(M345&lt;40, " Adult", M345&lt;60, "Middle Age", M345&gt;=60, "Older Adult")</f>
        <v xml:space="preserve"> Adult</v>
      </c>
      <c r="O345" s="1" t="s">
        <v>14</v>
      </c>
      <c r="P345" s="1">
        <f>IF(O345="Yes", 1)</f>
        <v>1</v>
      </c>
      <c r="Q345" s="1"/>
    </row>
    <row r="346" spans="1:17" x14ac:dyDescent="0.25">
      <c r="A346">
        <v>18294</v>
      </c>
      <c r="B346" s="1" t="s">
        <v>31</v>
      </c>
      <c r="C346" s="1" t="s">
        <v>33</v>
      </c>
      <c r="D346" s="2">
        <v>90000</v>
      </c>
      <c r="E346" s="2" t="str">
        <f>IF(bike_buyers[[#This Row],[Income]]&lt;40000,"Under 40K", IF(bike_buyers[[#This Row],[Income]]&lt;60000,"40K-59K", IF(bike_buyers[[#This Row],[Income]]&lt;80000,"60K-79K", IF(bike_buyers[[#This Row],[Income]]&lt;100000,"80K-99K","100K+"))))</f>
        <v>80K-99K</v>
      </c>
      <c r="F346">
        <v>1</v>
      </c>
      <c r="G346" s="1" t="s">
        <v>12</v>
      </c>
      <c r="H346" s="1" t="s">
        <v>20</v>
      </c>
      <c r="I346" s="1" t="s">
        <v>14</v>
      </c>
      <c r="J346">
        <v>1</v>
      </c>
      <c r="K346" s="1" t="s">
        <v>22</v>
      </c>
      <c r="L346" s="1" t="s">
        <v>23</v>
      </c>
      <c r="M346">
        <v>46</v>
      </c>
      <c r="N346" s="1" t="str" cm="1">
        <f t="array" ref="N346">_xlfn.IFS(M346&lt;40, " Adult", M346&lt;60, "Middle Age", M346&gt;=60, "Older Adult")</f>
        <v>Middle Age</v>
      </c>
      <c r="O346" s="1" t="s">
        <v>17</v>
      </c>
      <c r="P346" s="1" t="b">
        <f>IF(O346="Yes", 1)</f>
        <v>0</v>
      </c>
      <c r="Q346" s="1"/>
    </row>
    <row r="347" spans="1:17" x14ac:dyDescent="0.25">
      <c r="A347">
        <v>26415</v>
      </c>
      <c r="B347" s="1" t="s">
        <v>31</v>
      </c>
      <c r="C347" s="1" t="s">
        <v>33</v>
      </c>
      <c r="D347" s="2">
        <v>90000</v>
      </c>
      <c r="E347" s="2" t="str">
        <f>IF(bike_buyers[[#This Row],[Income]]&lt;40000,"Under 40K", IF(bike_buyers[[#This Row],[Income]]&lt;60000,"40K-59K", IF(bike_buyers[[#This Row],[Income]]&lt;80000,"60K-79K", IF(bike_buyers[[#This Row],[Income]]&lt;100000,"80K-99K","100K+"))))</f>
        <v>80K-99K</v>
      </c>
      <c r="F347">
        <v>4</v>
      </c>
      <c r="G347" s="1" t="s">
        <v>28</v>
      </c>
      <c r="H347" s="1" t="s">
        <v>13</v>
      </c>
      <c r="I347" s="1" t="s">
        <v>14</v>
      </c>
      <c r="J347">
        <v>4</v>
      </c>
      <c r="K347" s="1" t="s">
        <v>62</v>
      </c>
      <c r="L347" s="1" t="s">
        <v>16</v>
      </c>
      <c r="M347">
        <v>58</v>
      </c>
      <c r="N347" s="1" t="str" cm="1">
        <f t="array" ref="N347">_xlfn.IFS(M347&lt;40, " Adult", M347&lt;60, "Middle Age", M347&gt;=60, "Older Adult")</f>
        <v>Middle Age</v>
      </c>
      <c r="O347" s="1" t="s">
        <v>17</v>
      </c>
      <c r="P347" s="1" t="b">
        <f>IF(O347="Yes", 1)</f>
        <v>0</v>
      </c>
      <c r="Q347" s="1"/>
    </row>
    <row r="348" spans="1:17" x14ac:dyDescent="0.25">
      <c r="A348">
        <v>26012</v>
      </c>
      <c r="B348" s="1" t="s">
        <v>31</v>
      </c>
      <c r="C348" s="1" t="s">
        <v>32</v>
      </c>
      <c r="D348" s="2">
        <v>80000</v>
      </c>
      <c r="E348" s="2" t="str">
        <f>IF(bike_buyers[[#This Row],[Income]]&lt;40000,"Under 40K", IF(bike_buyers[[#This Row],[Income]]&lt;60000,"40K-59K", IF(bike_buyers[[#This Row],[Income]]&lt;80000,"60K-79K", IF(bike_buyers[[#This Row],[Income]]&lt;100000,"80K-99K","100K+"))))</f>
        <v>80K-99K</v>
      </c>
      <c r="F348">
        <v>1</v>
      </c>
      <c r="G348" s="1" t="s">
        <v>18</v>
      </c>
      <c r="H348" s="1" t="s">
        <v>13</v>
      </c>
      <c r="I348" s="1" t="s">
        <v>14</v>
      </c>
      <c r="J348">
        <v>1</v>
      </c>
      <c r="K348" s="1" t="s">
        <v>21</v>
      </c>
      <c r="L348" s="1" t="s">
        <v>30</v>
      </c>
      <c r="M348">
        <v>48</v>
      </c>
      <c r="N348" s="1" t="str" cm="1">
        <f t="array" ref="N348">_xlfn.IFS(M348&lt;40, " Adult", M348&lt;60, "Middle Age", M348&gt;=60, "Older Adult")</f>
        <v>Middle Age</v>
      </c>
      <c r="O348" s="1" t="s">
        <v>14</v>
      </c>
      <c r="P348" s="1">
        <f>IF(O348="Yes", 1)</f>
        <v>1</v>
      </c>
      <c r="Q348" s="1"/>
    </row>
    <row r="349" spans="1:17" x14ac:dyDescent="0.25">
      <c r="A349">
        <v>24357</v>
      </c>
      <c r="B349" s="1" t="s">
        <v>31</v>
      </c>
      <c r="C349" s="1" t="s">
        <v>32</v>
      </c>
      <c r="D349" s="2">
        <v>80000</v>
      </c>
      <c r="E349" s="2" t="str">
        <f>IF(bike_buyers[[#This Row],[Income]]&lt;40000,"Under 40K", IF(bike_buyers[[#This Row],[Income]]&lt;60000,"40K-59K", IF(bike_buyers[[#This Row],[Income]]&lt;80000,"60K-79K", IF(bike_buyers[[#This Row],[Income]]&lt;100000,"80K-99K","100K+"))))</f>
        <v>80K-99K</v>
      </c>
      <c r="F349">
        <v>3</v>
      </c>
      <c r="G349" s="1" t="s">
        <v>12</v>
      </c>
      <c r="H349" s="1" t="s">
        <v>20</v>
      </c>
      <c r="I349" s="1" t="s">
        <v>14</v>
      </c>
      <c r="J349">
        <v>1</v>
      </c>
      <c r="K349" s="1" t="s">
        <v>21</v>
      </c>
      <c r="L349" s="1" t="s">
        <v>30</v>
      </c>
      <c r="M349">
        <v>48</v>
      </c>
      <c r="N349" s="1" t="str" cm="1">
        <f t="array" ref="N349">_xlfn.IFS(M349&lt;40, " Adult", M349&lt;60, "Middle Age", M349&gt;=60, "Older Adult")</f>
        <v>Middle Age</v>
      </c>
      <c r="O349" s="1" t="s">
        <v>14</v>
      </c>
      <c r="P349" s="1">
        <f>IF(O349="Yes", 1)</f>
        <v>1</v>
      </c>
      <c r="Q349" s="1"/>
    </row>
    <row r="350" spans="1:17" x14ac:dyDescent="0.25">
      <c r="A350">
        <v>12207</v>
      </c>
      <c r="B350" s="1" t="s">
        <v>34</v>
      </c>
      <c r="C350" s="1" t="s">
        <v>32</v>
      </c>
      <c r="D350" s="2">
        <v>80000</v>
      </c>
      <c r="E350" s="2" t="str">
        <f>IF(bike_buyers[[#This Row],[Income]]&lt;40000,"Under 40K", IF(bike_buyers[[#This Row],[Income]]&lt;60000,"40K-59K", IF(bike_buyers[[#This Row],[Income]]&lt;80000,"60K-79K", IF(bike_buyers[[#This Row],[Income]]&lt;100000,"80K-99K","100K+"))))</f>
        <v>80K-99K</v>
      </c>
      <c r="F350">
        <v>4</v>
      </c>
      <c r="G350" s="1" t="s">
        <v>12</v>
      </c>
      <c r="H350" s="1" t="s">
        <v>27</v>
      </c>
      <c r="I350" s="1" t="s">
        <v>14</v>
      </c>
      <c r="J350">
        <v>0</v>
      </c>
      <c r="K350" s="1" t="s">
        <v>22</v>
      </c>
      <c r="L350" s="1" t="s">
        <v>30</v>
      </c>
      <c r="M350">
        <v>66</v>
      </c>
      <c r="N350" s="1" t="str" cm="1">
        <f t="array" ref="N350">_xlfn.IFS(M350&lt;40, " Adult", M350&lt;60, "Middle Age", M350&gt;=60, "Older Adult")</f>
        <v>Older Adult</v>
      </c>
      <c r="O350" s="1" t="s">
        <v>14</v>
      </c>
      <c r="P350" s="1">
        <f>IF(O350="Yes", 1)</f>
        <v>1</v>
      </c>
      <c r="Q350" s="1"/>
    </row>
    <row r="351" spans="1:17" x14ac:dyDescent="0.25">
      <c r="A351">
        <v>23586</v>
      </c>
      <c r="B351" s="1" t="s">
        <v>31</v>
      </c>
      <c r="C351" s="1" t="s">
        <v>33</v>
      </c>
      <c r="D351" s="2">
        <v>80000</v>
      </c>
      <c r="E351" s="2" t="str">
        <f>IF(bike_buyers[[#This Row],[Income]]&lt;40000,"Under 40K", IF(bike_buyers[[#This Row],[Income]]&lt;60000,"40K-59K", IF(bike_buyers[[#This Row],[Income]]&lt;80000,"60K-79K", IF(bike_buyers[[#This Row],[Income]]&lt;100000,"80K-99K","100K+"))))</f>
        <v>80K-99K</v>
      </c>
      <c r="F351">
        <v>0</v>
      </c>
      <c r="G351" s="1" t="s">
        <v>12</v>
      </c>
      <c r="H351" s="1" t="s">
        <v>27</v>
      </c>
      <c r="I351" s="1" t="s">
        <v>14</v>
      </c>
      <c r="J351">
        <v>1</v>
      </c>
      <c r="K351" s="1" t="s">
        <v>25</v>
      </c>
      <c r="L351" s="1" t="s">
        <v>30</v>
      </c>
      <c r="M351">
        <v>34</v>
      </c>
      <c r="N351" s="1" t="str" cm="1">
        <f t="array" ref="N351">_xlfn.IFS(M351&lt;40, " Adult", M351&lt;60, "Middle Age", M351&gt;=60, "Older Adult")</f>
        <v xml:space="preserve"> Adult</v>
      </c>
      <c r="O351" s="1" t="s">
        <v>14</v>
      </c>
      <c r="P351" s="1">
        <f>IF(O351="Yes", 1)</f>
        <v>1</v>
      </c>
      <c r="Q351" s="1"/>
    </row>
    <row r="352" spans="1:17" x14ac:dyDescent="0.25">
      <c r="A352">
        <v>15740</v>
      </c>
      <c r="B352" s="1" t="s">
        <v>31</v>
      </c>
      <c r="C352" s="1" t="s">
        <v>32</v>
      </c>
      <c r="D352" s="2">
        <v>80000</v>
      </c>
      <c r="E352" s="2" t="str">
        <f>IF(bike_buyers[[#This Row],[Income]]&lt;40000,"Under 40K", IF(bike_buyers[[#This Row],[Income]]&lt;60000,"40K-59K", IF(bike_buyers[[#This Row],[Income]]&lt;80000,"60K-79K", IF(bike_buyers[[#This Row],[Income]]&lt;100000,"80K-99K","100K+"))))</f>
        <v>80K-99K</v>
      </c>
      <c r="F352">
        <v>5</v>
      </c>
      <c r="G352" s="1" t="s">
        <v>12</v>
      </c>
      <c r="H352" s="1" t="s">
        <v>27</v>
      </c>
      <c r="I352" s="1" t="s">
        <v>14</v>
      </c>
      <c r="J352">
        <v>2</v>
      </c>
      <c r="K352" s="1" t="s">
        <v>25</v>
      </c>
      <c r="L352" s="1" t="s">
        <v>30</v>
      </c>
      <c r="M352">
        <v>64</v>
      </c>
      <c r="N352" s="1" t="str" cm="1">
        <f t="array" ref="N352">_xlfn.IFS(M352&lt;40, " Adult", M352&lt;60, "Middle Age", M352&gt;=60, "Older Adult")</f>
        <v>Older Adult</v>
      </c>
      <c r="O352" s="1" t="s">
        <v>17</v>
      </c>
      <c r="P352" s="1" t="b">
        <f>IF(O352="Yes", 1)</f>
        <v>0</v>
      </c>
      <c r="Q352" s="1"/>
    </row>
    <row r="353" spans="1:17" x14ac:dyDescent="0.25">
      <c r="A353">
        <v>13283</v>
      </c>
      <c r="B353" s="1" t="s">
        <v>31</v>
      </c>
      <c r="C353" s="1" t="s">
        <v>32</v>
      </c>
      <c r="D353" s="2">
        <v>80000</v>
      </c>
      <c r="E353" s="2" t="str">
        <f>IF(bike_buyers[[#This Row],[Income]]&lt;40000,"Under 40K", IF(bike_buyers[[#This Row],[Income]]&lt;60000,"40K-59K", IF(bike_buyers[[#This Row],[Income]]&lt;80000,"60K-79K", IF(bike_buyers[[#This Row],[Income]]&lt;100000,"80K-99K","100K+"))))</f>
        <v>80K-99K</v>
      </c>
      <c r="F353">
        <v>3</v>
      </c>
      <c r="G353" s="1" t="s">
        <v>18</v>
      </c>
      <c r="H353" s="1" t="s">
        <v>20</v>
      </c>
      <c r="I353" s="1" t="s">
        <v>17</v>
      </c>
      <c r="J353">
        <v>2</v>
      </c>
      <c r="K353" s="1" t="s">
        <v>15</v>
      </c>
      <c r="L353" s="1" t="s">
        <v>30</v>
      </c>
      <c r="M353">
        <v>49</v>
      </c>
      <c r="N353" s="1" t="str" cm="1">
        <f t="array" ref="N353">_xlfn.IFS(M353&lt;40, " Adult", M353&lt;60, "Middle Age", M353&gt;=60, "Older Adult")</f>
        <v>Middle Age</v>
      </c>
      <c r="O353" s="1" t="s">
        <v>14</v>
      </c>
      <c r="P353" s="1">
        <f>IF(O353="Yes", 1)</f>
        <v>1</v>
      </c>
      <c r="Q353" s="1"/>
    </row>
    <row r="354" spans="1:17" x14ac:dyDescent="0.25">
      <c r="A354">
        <v>17471</v>
      </c>
      <c r="B354" s="1" t="s">
        <v>34</v>
      </c>
      <c r="C354" s="1" t="s">
        <v>33</v>
      </c>
      <c r="D354" s="2">
        <v>80000</v>
      </c>
      <c r="E354" s="2" t="str">
        <f>IF(bike_buyers[[#This Row],[Income]]&lt;40000,"Under 40K", IF(bike_buyers[[#This Row],[Income]]&lt;60000,"40K-59K", IF(bike_buyers[[#This Row],[Income]]&lt;80000,"60K-79K", IF(bike_buyers[[#This Row],[Income]]&lt;100000,"80K-99K","100K+"))))</f>
        <v>80K-99K</v>
      </c>
      <c r="F354">
        <v>4</v>
      </c>
      <c r="G354" s="1" t="s">
        <v>29</v>
      </c>
      <c r="H354" s="1" t="s">
        <v>27</v>
      </c>
      <c r="I354" s="1" t="s">
        <v>14</v>
      </c>
      <c r="J354">
        <v>2</v>
      </c>
      <c r="K354" s="1" t="s">
        <v>22</v>
      </c>
      <c r="L354" s="1" t="s">
        <v>30</v>
      </c>
      <c r="M354">
        <v>67</v>
      </c>
      <c r="N354" s="1" t="str" cm="1">
        <f t="array" ref="N354">_xlfn.IFS(M354&lt;40, " Adult", M354&lt;60, "Middle Age", M354&gt;=60, "Older Adult")</f>
        <v>Older Adult</v>
      </c>
      <c r="O354" s="1" t="s">
        <v>17</v>
      </c>
      <c r="P354" s="1" t="b">
        <f>IF(O354="Yes", 1)</f>
        <v>0</v>
      </c>
      <c r="Q354" s="1"/>
    </row>
    <row r="355" spans="1:17" x14ac:dyDescent="0.25">
      <c r="A355">
        <v>13907</v>
      </c>
      <c r="B355" s="1" t="s">
        <v>34</v>
      </c>
      <c r="C355" s="1" t="s">
        <v>33</v>
      </c>
      <c r="D355" s="2">
        <v>80000</v>
      </c>
      <c r="E355" s="2" t="str">
        <f>IF(bike_buyers[[#This Row],[Income]]&lt;40000,"Under 40K", IF(bike_buyers[[#This Row],[Income]]&lt;60000,"40K-59K", IF(bike_buyers[[#This Row],[Income]]&lt;80000,"60K-79K", IF(bike_buyers[[#This Row],[Income]]&lt;100000,"80K-99K","100K+"))))</f>
        <v>80K-99K</v>
      </c>
      <c r="F355">
        <v>3</v>
      </c>
      <c r="G355" s="1" t="s">
        <v>12</v>
      </c>
      <c r="H355" s="1" t="s">
        <v>13</v>
      </c>
      <c r="I355" s="1" t="s">
        <v>14</v>
      </c>
      <c r="J355">
        <v>1</v>
      </c>
      <c r="K355" s="1" t="s">
        <v>15</v>
      </c>
      <c r="L355" s="1" t="s">
        <v>30</v>
      </c>
      <c r="M355">
        <v>41</v>
      </c>
      <c r="N355" s="1" t="str" cm="1">
        <f t="array" ref="N355">_xlfn.IFS(M355&lt;40, " Adult", M355&lt;60, "Middle Age", M355&gt;=60, "Older Adult")</f>
        <v>Middle Age</v>
      </c>
      <c r="O355" s="1" t="s">
        <v>14</v>
      </c>
      <c r="P355" s="1">
        <f>IF(O355="Yes", 1)</f>
        <v>1</v>
      </c>
      <c r="Q355" s="1"/>
    </row>
    <row r="356" spans="1:17" x14ac:dyDescent="0.25">
      <c r="A356">
        <v>11262</v>
      </c>
      <c r="B356" s="1" t="s">
        <v>31</v>
      </c>
      <c r="C356" s="1" t="s">
        <v>33</v>
      </c>
      <c r="D356" s="2">
        <v>80000</v>
      </c>
      <c r="E356" s="2" t="str">
        <f>IF(bike_buyers[[#This Row],[Income]]&lt;40000,"Under 40K", IF(bike_buyers[[#This Row],[Income]]&lt;60000,"40K-59K", IF(bike_buyers[[#This Row],[Income]]&lt;80000,"60K-79K", IF(bike_buyers[[#This Row],[Income]]&lt;100000,"80K-99K","100K+"))))</f>
        <v>80K-99K</v>
      </c>
      <c r="F356">
        <v>4</v>
      </c>
      <c r="G356" s="1" t="s">
        <v>12</v>
      </c>
      <c r="H356" s="1" t="s">
        <v>27</v>
      </c>
      <c r="I356" s="1" t="s">
        <v>14</v>
      </c>
      <c r="J356">
        <v>0</v>
      </c>
      <c r="K356" s="1" t="s">
        <v>15</v>
      </c>
      <c r="L356" s="1" t="s">
        <v>30</v>
      </c>
      <c r="M356">
        <v>42</v>
      </c>
      <c r="N356" s="1" t="str" cm="1">
        <f t="array" ref="N356">_xlfn.IFS(M356&lt;40, " Adult", M356&lt;60, "Middle Age", M356&gt;=60, "Older Adult")</f>
        <v>Middle Age</v>
      </c>
      <c r="O356" s="1" t="s">
        <v>17</v>
      </c>
      <c r="P356" s="1" t="b">
        <f>IF(O356="Yes", 1)</f>
        <v>0</v>
      </c>
      <c r="Q356" s="1"/>
    </row>
    <row r="357" spans="1:17" x14ac:dyDescent="0.25">
      <c r="A357">
        <v>18674</v>
      </c>
      <c r="B357" s="1" t="s">
        <v>34</v>
      </c>
      <c r="C357" s="1" t="s">
        <v>33</v>
      </c>
      <c r="D357" s="2">
        <v>80000</v>
      </c>
      <c r="E357" s="2" t="str">
        <f>IF(bike_buyers[[#This Row],[Income]]&lt;40000,"Under 40K", IF(bike_buyers[[#This Row],[Income]]&lt;60000,"40K-59K", IF(bike_buyers[[#This Row],[Income]]&lt;80000,"60K-79K", IF(bike_buyers[[#This Row],[Income]]&lt;100000,"80K-99K","100K+"))))</f>
        <v>80K-99K</v>
      </c>
      <c r="F357">
        <v>4</v>
      </c>
      <c r="G357" s="1" t="s">
        <v>29</v>
      </c>
      <c r="H357" s="1" t="s">
        <v>13</v>
      </c>
      <c r="I357" s="1" t="s">
        <v>17</v>
      </c>
      <c r="J357">
        <v>0</v>
      </c>
      <c r="K357" s="1" t="s">
        <v>15</v>
      </c>
      <c r="L357" s="1" t="s">
        <v>30</v>
      </c>
      <c r="M357">
        <v>48</v>
      </c>
      <c r="N357" s="1" t="str" cm="1">
        <f t="array" ref="N357">_xlfn.IFS(M357&lt;40, " Adult", M357&lt;60, "Middle Age", M357&gt;=60, "Older Adult")</f>
        <v>Middle Age</v>
      </c>
      <c r="O357" s="1" t="s">
        <v>17</v>
      </c>
      <c r="P357" s="1" t="b">
        <f>IF(O357="Yes", 1)</f>
        <v>0</v>
      </c>
      <c r="Q357" s="1"/>
    </row>
    <row r="358" spans="1:17" x14ac:dyDescent="0.25">
      <c r="A358">
        <v>25293</v>
      </c>
      <c r="B358" s="1" t="s">
        <v>31</v>
      </c>
      <c r="C358" s="1" t="s">
        <v>32</v>
      </c>
      <c r="D358" s="2">
        <v>80000</v>
      </c>
      <c r="E358" s="2" t="str">
        <f>IF(bike_buyers[[#This Row],[Income]]&lt;40000,"Under 40K", IF(bike_buyers[[#This Row],[Income]]&lt;60000,"40K-59K", IF(bike_buyers[[#This Row],[Income]]&lt;80000,"60K-79K", IF(bike_buyers[[#This Row],[Income]]&lt;100000,"80K-99K","100K+"))))</f>
        <v>80K-99K</v>
      </c>
      <c r="F358">
        <v>4</v>
      </c>
      <c r="G358" s="1" t="s">
        <v>12</v>
      </c>
      <c r="H358" s="1" t="s">
        <v>27</v>
      </c>
      <c r="I358" s="1" t="s">
        <v>14</v>
      </c>
      <c r="J358">
        <v>0</v>
      </c>
      <c r="K358" s="1" t="s">
        <v>25</v>
      </c>
      <c r="L358" s="1" t="s">
        <v>30</v>
      </c>
      <c r="M358">
        <v>42</v>
      </c>
      <c r="N358" s="1" t="str" cm="1">
        <f t="array" ref="N358">_xlfn.IFS(M358&lt;40, " Adult", M358&lt;60, "Middle Age", M358&gt;=60, "Older Adult")</f>
        <v>Middle Age</v>
      </c>
      <c r="O358" s="1" t="s">
        <v>17</v>
      </c>
      <c r="P358" s="1" t="b">
        <f>IF(O358="Yes", 1)</f>
        <v>0</v>
      </c>
      <c r="Q358" s="1"/>
    </row>
    <row r="359" spans="1:17" x14ac:dyDescent="0.25">
      <c r="A359">
        <v>21266</v>
      </c>
      <c r="B359" s="1" t="s">
        <v>34</v>
      </c>
      <c r="C359" s="1" t="s">
        <v>33</v>
      </c>
      <c r="D359" s="2">
        <v>80000</v>
      </c>
      <c r="E359" s="2" t="str">
        <f>IF(bike_buyers[[#This Row],[Income]]&lt;40000,"Under 40K", IF(bike_buyers[[#This Row],[Income]]&lt;60000,"40K-59K", IF(bike_buyers[[#This Row],[Income]]&lt;80000,"60K-79K", IF(bike_buyers[[#This Row],[Income]]&lt;100000,"80K-99K","100K+"))))</f>
        <v>80K-99K</v>
      </c>
      <c r="F359">
        <v>0</v>
      </c>
      <c r="G359" s="1" t="s">
        <v>12</v>
      </c>
      <c r="H359" s="1" t="s">
        <v>27</v>
      </c>
      <c r="I359" s="1" t="s">
        <v>14</v>
      </c>
      <c r="J359">
        <v>1</v>
      </c>
      <c r="K359" s="1" t="s">
        <v>25</v>
      </c>
      <c r="L359" s="1" t="s">
        <v>30</v>
      </c>
      <c r="M359">
        <v>34</v>
      </c>
      <c r="N359" s="1" t="str" cm="1">
        <f t="array" ref="N359">_xlfn.IFS(M359&lt;40, " Adult", M359&lt;60, "Middle Age", M359&gt;=60, "Older Adult")</f>
        <v xml:space="preserve"> Adult</v>
      </c>
      <c r="O359" s="1" t="s">
        <v>14</v>
      </c>
      <c r="P359" s="1">
        <f>IF(O359="Yes", 1)</f>
        <v>1</v>
      </c>
      <c r="Q359" s="1"/>
    </row>
    <row r="360" spans="1:17" x14ac:dyDescent="0.25">
      <c r="A360">
        <v>13749</v>
      </c>
      <c r="B360" s="1" t="s">
        <v>31</v>
      </c>
      <c r="C360" s="1" t="s">
        <v>32</v>
      </c>
      <c r="D360" s="2">
        <v>80000</v>
      </c>
      <c r="E360" s="2" t="str">
        <f>IF(bike_buyers[[#This Row],[Income]]&lt;40000,"Under 40K", IF(bike_buyers[[#This Row],[Income]]&lt;60000,"40K-59K", IF(bike_buyers[[#This Row],[Income]]&lt;80000,"60K-79K", IF(bike_buyers[[#This Row],[Income]]&lt;100000,"80K-99K","100K+"))))</f>
        <v>80K-99K</v>
      </c>
      <c r="F360">
        <v>4</v>
      </c>
      <c r="G360" s="1" t="s">
        <v>29</v>
      </c>
      <c r="H360" s="1" t="s">
        <v>13</v>
      </c>
      <c r="I360" s="1" t="s">
        <v>14</v>
      </c>
      <c r="J360">
        <v>0</v>
      </c>
      <c r="K360" s="1" t="s">
        <v>25</v>
      </c>
      <c r="L360" s="1" t="s">
        <v>30</v>
      </c>
      <c r="M360">
        <v>47</v>
      </c>
      <c r="N360" s="1" t="str" cm="1">
        <f t="array" ref="N360">_xlfn.IFS(M360&lt;40, " Adult", M360&lt;60, "Middle Age", M360&gt;=60, "Older Adult")</f>
        <v>Middle Age</v>
      </c>
      <c r="O360" s="1" t="s">
        <v>17</v>
      </c>
      <c r="P360" s="1" t="b">
        <f>IF(O360="Yes", 1)</f>
        <v>0</v>
      </c>
      <c r="Q360" s="1"/>
    </row>
    <row r="361" spans="1:17" x14ac:dyDescent="0.25">
      <c r="A361">
        <v>16871</v>
      </c>
      <c r="B361" s="1" t="s">
        <v>31</v>
      </c>
      <c r="C361" s="1" t="s">
        <v>33</v>
      </c>
      <c r="D361" s="2">
        <v>90000</v>
      </c>
      <c r="E361" s="2" t="str">
        <f>IF(bike_buyers[[#This Row],[Income]]&lt;40000,"Under 40K", IF(bike_buyers[[#This Row],[Income]]&lt;60000,"40K-59K", IF(bike_buyers[[#This Row],[Income]]&lt;80000,"60K-79K", IF(bike_buyers[[#This Row],[Income]]&lt;100000,"80K-99K","100K+"))))</f>
        <v>80K-99K</v>
      </c>
      <c r="F361">
        <v>2</v>
      </c>
      <c r="G361" s="1" t="s">
        <v>26</v>
      </c>
      <c r="H361" s="1" t="s">
        <v>20</v>
      </c>
      <c r="I361" s="1" t="s">
        <v>14</v>
      </c>
      <c r="J361">
        <v>1</v>
      </c>
      <c r="K361" s="1" t="s">
        <v>62</v>
      </c>
      <c r="L361" s="1" t="s">
        <v>30</v>
      </c>
      <c r="M361">
        <v>51</v>
      </c>
      <c r="N361" s="1" t="str" cm="1">
        <f t="array" ref="N361">_xlfn.IFS(M361&lt;40, " Adult", M361&lt;60, "Middle Age", M361&gt;=60, "Older Adult")</f>
        <v>Middle Age</v>
      </c>
      <c r="O361" s="1" t="s">
        <v>14</v>
      </c>
      <c r="P361" s="1">
        <f>IF(O361="Yes", 1)</f>
        <v>1</v>
      </c>
      <c r="Q361" s="1"/>
    </row>
    <row r="362" spans="1:17" x14ac:dyDescent="0.25">
      <c r="A362">
        <v>18391</v>
      </c>
      <c r="B362" s="1" t="s">
        <v>34</v>
      </c>
      <c r="C362" s="1" t="s">
        <v>33</v>
      </c>
      <c r="D362" s="2">
        <v>80000</v>
      </c>
      <c r="E362" s="2" t="str">
        <f>IF(bike_buyers[[#This Row],[Income]]&lt;40000,"Under 40K", IF(bike_buyers[[#This Row],[Income]]&lt;60000,"40K-59K", IF(bike_buyers[[#This Row],[Income]]&lt;80000,"60K-79K", IF(bike_buyers[[#This Row],[Income]]&lt;100000,"80K-99K","100K+"))))</f>
        <v>80K-99K</v>
      </c>
      <c r="F362">
        <v>5</v>
      </c>
      <c r="G362" s="1" t="s">
        <v>18</v>
      </c>
      <c r="H362" s="1" t="s">
        <v>20</v>
      </c>
      <c r="I362" s="1" t="s">
        <v>14</v>
      </c>
      <c r="J362">
        <v>2</v>
      </c>
      <c r="K362" s="1" t="s">
        <v>22</v>
      </c>
      <c r="L362" s="1" t="s">
        <v>30</v>
      </c>
      <c r="M362">
        <v>44</v>
      </c>
      <c r="N362" s="1" t="str" cm="1">
        <f t="array" ref="N362">_xlfn.IFS(M362&lt;40, " Adult", M362&lt;60, "Middle Age", M362&gt;=60, "Older Adult")</f>
        <v>Middle Age</v>
      </c>
      <c r="O362" s="1" t="s">
        <v>17</v>
      </c>
      <c r="P362" s="1" t="b">
        <f>IF(O362="Yes", 1)</f>
        <v>0</v>
      </c>
      <c r="Q362" s="1"/>
    </row>
    <row r="363" spans="1:17" x14ac:dyDescent="0.25">
      <c r="A363">
        <v>27660</v>
      </c>
      <c r="B363" s="1" t="s">
        <v>31</v>
      </c>
      <c r="C363" s="1" t="s">
        <v>32</v>
      </c>
      <c r="D363" s="2">
        <v>80000</v>
      </c>
      <c r="E363" s="2" t="str">
        <f>IF(bike_buyers[[#This Row],[Income]]&lt;40000,"Under 40K", IF(bike_buyers[[#This Row],[Income]]&lt;60000,"40K-59K", IF(bike_buyers[[#This Row],[Income]]&lt;80000,"60K-79K", IF(bike_buyers[[#This Row],[Income]]&lt;100000,"80K-99K","100K+"))))</f>
        <v>80K-99K</v>
      </c>
      <c r="F363">
        <v>4</v>
      </c>
      <c r="G363" s="1" t="s">
        <v>29</v>
      </c>
      <c r="H363" s="1" t="s">
        <v>27</v>
      </c>
      <c r="I363" s="1" t="s">
        <v>14</v>
      </c>
      <c r="J363">
        <v>2</v>
      </c>
      <c r="K363" s="1" t="s">
        <v>22</v>
      </c>
      <c r="L363" s="1" t="s">
        <v>30</v>
      </c>
      <c r="M363">
        <v>70</v>
      </c>
      <c r="N363" s="1" t="str" cm="1">
        <f t="array" ref="N363">_xlfn.IFS(M363&lt;40, " Adult", M363&lt;60, "Middle Age", M363&gt;=60, "Older Adult")</f>
        <v>Older Adult</v>
      </c>
      <c r="O363" s="1" t="s">
        <v>17</v>
      </c>
      <c r="P363" s="1" t="b">
        <f>IF(O363="Yes", 1)</f>
        <v>0</v>
      </c>
      <c r="Q363" s="1"/>
    </row>
    <row r="364" spans="1:17" x14ac:dyDescent="0.25">
      <c r="A364">
        <v>20343</v>
      </c>
      <c r="B364" s="1" t="s">
        <v>31</v>
      </c>
      <c r="C364" s="1" t="s">
        <v>33</v>
      </c>
      <c r="D364" s="2">
        <v>90000</v>
      </c>
      <c r="E364" s="2" t="str">
        <f>IF(bike_buyers[[#This Row],[Income]]&lt;40000,"Under 40K", IF(bike_buyers[[#This Row],[Income]]&lt;60000,"40K-59K", IF(bike_buyers[[#This Row],[Income]]&lt;80000,"60K-79K", IF(bike_buyers[[#This Row],[Income]]&lt;100000,"80K-99K","100K+"))))</f>
        <v>80K-99K</v>
      </c>
      <c r="F364">
        <v>4</v>
      </c>
      <c r="G364" s="1" t="s">
        <v>18</v>
      </c>
      <c r="H364" s="1" t="s">
        <v>20</v>
      </c>
      <c r="I364" s="1" t="s">
        <v>14</v>
      </c>
      <c r="J364">
        <v>1</v>
      </c>
      <c r="K364" s="1" t="s">
        <v>25</v>
      </c>
      <c r="L364" s="1" t="s">
        <v>30</v>
      </c>
      <c r="M364">
        <v>45</v>
      </c>
      <c r="N364" s="1" t="str" cm="1">
        <f t="array" ref="N364">_xlfn.IFS(M364&lt;40, " Adult", M364&lt;60, "Middle Age", M364&gt;=60, "Older Adult")</f>
        <v>Middle Age</v>
      </c>
      <c r="O364" s="1" t="s">
        <v>17</v>
      </c>
      <c r="P364" s="1" t="b">
        <f>IF(O364="Yes", 1)</f>
        <v>0</v>
      </c>
      <c r="Q364" s="1"/>
    </row>
    <row r="365" spans="1:17" x14ac:dyDescent="0.25">
      <c r="A365">
        <v>29231</v>
      </c>
      <c r="B365" s="1" t="s">
        <v>34</v>
      </c>
      <c r="C365" s="1" t="s">
        <v>32</v>
      </c>
      <c r="D365" s="2">
        <v>80000</v>
      </c>
      <c r="E365" s="2" t="str">
        <f>IF(bike_buyers[[#This Row],[Income]]&lt;40000,"Under 40K", IF(bike_buyers[[#This Row],[Income]]&lt;60000,"40K-59K", IF(bike_buyers[[#This Row],[Income]]&lt;80000,"60K-79K", IF(bike_buyers[[#This Row],[Income]]&lt;100000,"80K-99K","100K+"))))</f>
        <v>80K-99K</v>
      </c>
      <c r="F365">
        <v>4</v>
      </c>
      <c r="G365" s="1" t="s">
        <v>18</v>
      </c>
      <c r="H365" s="1" t="s">
        <v>20</v>
      </c>
      <c r="I365" s="1" t="s">
        <v>17</v>
      </c>
      <c r="J365">
        <v>2</v>
      </c>
      <c r="K365" s="1" t="s">
        <v>15</v>
      </c>
      <c r="L365" s="1" t="s">
        <v>30</v>
      </c>
      <c r="M365">
        <v>43</v>
      </c>
      <c r="N365" s="1" t="str" cm="1">
        <f t="array" ref="N365">_xlfn.IFS(M365&lt;40, " Adult", M365&lt;60, "Middle Age", M365&gt;=60, "Older Adult")</f>
        <v>Middle Age</v>
      </c>
      <c r="O365" s="1" t="s">
        <v>17</v>
      </c>
      <c r="P365" s="1" t="b">
        <f>IF(O365="Yes", 1)</f>
        <v>0</v>
      </c>
      <c r="Q365" s="1"/>
    </row>
    <row r="366" spans="1:17" x14ac:dyDescent="0.25">
      <c r="A366">
        <v>22994</v>
      </c>
      <c r="B366" s="1" t="s">
        <v>31</v>
      </c>
      <c r="C366" s="1" t="s">
        <v>33</v>
      </c>
      <c r="D366" s="2">
        <v>80000</v>
      </c>
      <c r="E366" s="2" t="str">
        <f>IF(bike_buyers[[#This Row],[Income]]&lt;40000,"Under 40K", IF(bike_buyers[[#This Row],[Income]]&lt;60000,"40K-59K", IF(bike_buyers[[#This Row],[Income]]&lt;80000,"60K-79K", IF(bike_buyers[[#This Row],[Income]]&lt;100000,"80K-99K","100K+"))))</f>
        <v>80K-99K</v>
      </c>
      <c r="F366">
        <v>0</v>
      </c>
      <c r="G366" s="1" t="s">
        <v>12</v>
      </c>
      <c r="H366" s="1" t="s">
        <v>27</v>
      </c>
      <c r="I366" s="1" t="s">
        <v>14</v>
      </c>
      <c r="J366">
        <v>1</v>
      </c>
      <c r="K366" s="1" t="s">
        <v>25</v>
      </c>
      <c r="L366" s="1" t="s">
        <v>30</v>
      </c>
      <c r="M366">
        <v>34</v>
      </c>
      <c r="N366" s="1" t="str" cm="1">
        <f t="array" ref="N366">_xlfn.IFS(M366&lt;40, " Adult", M366&lt;60, "Middle Age", M366&gt;=60, "Older Adult")</f>
        <v xml:space="preserve"> Adult</v>
      </c>
      <c r="O366" s="1" t="s">
        <v>14</v>
      </c>
      <c r="P366" s="1">
        <f>IF(O366="Yes", 1)</f>
        <v>1</v>
      </c>
      <c r="Q366" s="1"/>
    </row>
    <row r="367" spans="1:17" x14ac:dyDescent="0.25">
      <c r="A367">
        <v>16245</v>
      </c>
      <c r="B367" s="1" t="s">
        <v>34</v>
      </c>
      <c r="C367" s="1" t="s">
        <v>33</v>
      </c>
      <c r="D367" s="2">
        <v>80000</v>
      </c>
      <c r="E367" s="2" t="str">
        <f>IF(bike_buyers[[#This Row],[Income]]&lt;40000,"Under 40K", IF(bike_buyers[[#This Row],[Income]]&lt;60000,"40K-59K", IF(bike_buyers[[#This Row],[Income]]&lt;80000,"60K-79K", IF(bike_buyers[[#This Row],[Income]]&lt;100000,"80K-99K","100K+"))))</f>
        <v>80K-99K</v>
      </c>
      <c r="F367">
        <v>4</v>
      </c>
      <c r="G367" s="1" t="s">
        <v>29</v>
      </c>
      <c r="H367" s="1" t="s">
        <v>13</v>
      </c>
      <c r="I367" s="1" t="s">
        <v>14</v>
      </c>
      <c r="J367">
        <v>0</v>
      </c>
      <c r="K367" s="1" t="s">
        <v>25</v>
      </c>
      <c r="L367" s="1" t="s">
        <v>30</v>
      </c>
      <c r="M367">
        <v>47</v>
      </c>
      <c r="N367" s="1" t="str" cm="1">
        <f t="array" ref="N367">_xlfn.IFS(M367&lt;40, " Adult", M367&lt;60, "Middle Age", M367&gt;=60, "Older Adult")</f>
        <v>Middle Age</v>
      </c>
      <c r="O367" s="1" t="s">
        <v>17</v>
      </c>
      <c r="P367" s="1" t="b">
        <f>IF(O367="Yes", 1)</f>
        <v>0</v>
      </c>
      <c r="Q367" s="1"/>
    </row>
    <row r="368" spans="1:17" x14ac:dyDescent="0.25">
      <c r="A368">
        <v>29255</v>
      </c>
      <c r="B368" s="1" t="s">
        <v>34</v>
      </c>
      <c r="C368" s="1" t="s">
        <v>32</v>
      </c>
      <c r="D368" s="2">
        <v>80000</v>
      </c>
      <c r="E368" s="2" t="str">
        <f>IF(bike_buyers[[#This Row],[Income]]&lt;40000,"Under 40K", IF(bike_buyers[[#This Row],[Income]]&lt;60000,"40K-59K", IF(bike_buyers[[#This Row],[Income]]&lt;80000,"60K-79K", IF(bike_buyers[[#This Row],[Income]]&lt;100000,"80K-99K","100K+"))))</f>
        <v>80K-99K</v>
      </c>
      <c r="F368">
        <v>3</v>
      </c>
      <c r="G368" s="1" t="s">
        <v>18</v>
      </c>
      <c r="H368" s="1" t="s">
        <v>20</v>
      </c>
      <c r="I368" s="1" t="s">
        <v>17</v>
      </c>
      <c r="J368">
        <v>1</v>
      </c>
      <c r="K368" s="1" t="s">
        <v>25</v>
      </c>
      <c r="L368" s="1" t="s">
        <v>30</v>
      </c>
      <c r="M368">
        <v>51</v>
      </c>
      <c r="N368" s="1" t="str" cm="1">
        <f t="array" ref="N368">_xlfn.IFS(M368&lt;40, " Adult", M368&lt;60, "Middle Age", M368&gt;=60, "Older Adult")</f>
        <v>Middle Age</v>
      </c>
      <c r="O368" s="1" t="s">
        <v>14</v>
      </c>
      <c r="P368" s="1">
        <f>IF(O368="Yes", 1)</f>
        <v>1</v>
      </c>
      <c r="Q368" s="1"/>
    </row>
    <row r="369" spans="1:17" x14ac:dyDescent="0.25">
      <c r="A369">
        <v>13754</v>
      </c>
      <c r="B369" s="1" t="s">
        <v>34</v>
      </c>
      <c r="C369" s="1" t="s">
        <v>33</v>
      </c>
      <c r="D369" s="2">
        <v>80000</v>
      </c>
      <c r="E369" s="2" t="str">
        <f>IF(bike_buyers[[#This Row],[Income]]&lt;40000,"Under 40K", IF(bike_buyers[[#This Row],[Income]]&lt;60000,"40K-59K", IF(bike_buyers[[#This Row],[Income]]&lt;80000,"60K-79K", IF(bike_buyers[[#This Row],[Income]]&lt;100000,"80K-99K","100K+"))))</f>
        <v>80K-99K</v>
      </c>
      <c r="F369">
        <v>4</v>
      </c>
      <c r="G369" s="1" t="s">
        <v>29</v>
      </c>
      <c r="H369" s="1" t="s">
        <v>13</v>
      </c>
      <c r="I369" s="1" t="s">
        <v>14</v>
      </c>
      <c r="J369">
        <v>0</v>
      </c>
      <c r="K369" s="1" t="s">
        <v>25</v>
      </c>
      <c r="L369" s="1" t="s">
        <v>30</v>
      </c>
      <c r="M369">
        <v>48</v>
      </c>
      <c r="N369" s="1" t="str" cm="1">
        <f t="array" ref="N369">_xlfn.IFS(M369&lt;40, " Adult", M369&lt;60, "Middle Age", M369&gt;=60, "Older Adult")</f>
        <v>Middle Age</v>
      </c>
      <c r="O369" s="1" t="s">
        <v>17</v>
      </c>
      <c r="P369" s="1" t="b">
        <f>IF(O369="Yes", 1)</f>
        <v>0</v>
      </c>
      <c r="Q369" s="1"/>
    </row>
    <row r="370" spans="1:17" x14ac:dyDescent="0.25">
      <c r="A370">
        <v>28580</v>
      </c>
      <c r="B370" s="1" t="s">
        <v>31</v>
      </c>
      <c r="C370" s="1" t="s">
        <v>33</v>
      </c>
      <c r="D370" s="2">
        <v>80000</v>
      </c>
      <c r="E370" s="2" t="str">
        <f>IF(bike_buyers[[#This Row],[Income]]&lt;40000,"Under 40K", IF(bike_buyers[[#This Row],[Income]]&lt;60000,"40K-59K", IF(bike_buyers[[#This Row],[Income]]&lt;80000,"60K-79K", IF(bike_buyers[[#This Row],[Income]]&lt;100000,"80K-99K","100K+"))))</f>
        <v>80K-99K</v>
      </c>
      <c r="F370">
        <v>0</v>
      </c>
      <c r="G370" s="1" t="s">
        <v>29</v>
      </c>
      <c r="H370" s="1" t="s">
        <v>13</v>
      </c>
      <c r="I370" s="1" t="s">
        <v>14</v>
      </c>
      <c r="J370">
        <v>0</v>
      </c>
      <c r="K370" s="1" t="s">
        <v>25</v>
      </c>
      <c r="L370" s="1" t="s">
        <v>30</v>
      </c>
      <c r="M370">
        <v>40</v>
      </c>
      <c r="N370" s="1" t="str" cm="1">
        <f t="array" ref="N370">_xlfn.IFS(M370&lt;40, " Adult", M370&lt;60, "Middle Age", M370&gt;=60, "Older Adult")</f>
        <v>Middle Age</v>
      </c>
      <c r="O370" s="1" t="s">
        <v>14</v>
      </c>
      <c r="P370" s="1">
        <f>IF(O370="Yes", 1)</f>
        <v>1</v>
      </c>
      <c r="Q370" s="1"/>
    </row>
    <row r="371" spans="1:17" x14ac:dyDescent="0.25">
      <c r="A371">
        <v>18145</v>
      </c>
      <c r="B371" s="1" t="s">
        <v>31</v>
      </c>
      <c r="C371" s="1" t="s">
        <v>32</v>
      </c>
      <c r="D371" s="2">
        <v>80000</v>
      </c>
      <c r="E371" s="2" t="str">
        <f>IF(bike_buyers[[#This Row],[Income]]&lt;40000,"Under 40K", IF(bike_buyers[[#This Row],[Income]]&lt;60000,"40K-59K", IF(bike_buyers[[#This Row],[Income]]&lt;80000,"60K-79K", IF(bike_buyers[[#This Row],[Income]]&lt;100000,"80K-99K","100K+"))))</f>
        <v>80K-99K</v>
      </c>
      <c r="F371">
        <v>5</v>
      </c>
      <c r="G371" s="1" t="s">
        <v>12</v>
      </c>
      <c r="H371" s="1" t="s">
        <v>27</v>
      </c>
      <c r="I371" s="1" t="s">
        <v>17</v>
      </c>
      <c r="J371">
        <v>2</v>
      </c>
      <c r="K371" s="1" t="s">
        <v>21</v>
      </c>
      <c r="L371" s="1" t="s">
        <v>16</v>
      </c>
      <c r="M371">
        <v>62</v>
      </c>
      <c r="N371" s="1" t="str" cm="1">
        <f t="array" ref="N371">_xlfn.IFS(M371&lt;40, " Adult", M371&lt;60, "Middle Age", M371&gt;=60, "Older Adult")</f>
        <v>Older Adult</v>
      </c>
      <c r="O371" s="1" t="s">
        <v>17</v>
      </c>
      <c r="P371" s="1" t="b">
        <f>IF(O371="Yes", 1)</f>
        <v>0</v>
      </c>
      <c r="Q371" s="1"/>
    </row>
    <row r="372" spans="1:17" x14ac:dyDescent="0.25">
      <c r="A372">
        <v>16377</v>
      </c>
      <c r="B372" s="1" t="s">
        <v>34</v>
      </c>
      <c r="C372" s="1" t="s">
        <v>33</v>
      </c>
      <c r="D372" s="2">
        <v>80000</v>
      </c>
      <c r="E372" s="2" t="str">
        <f>IF(bike_buyers[[#This Row],[Income]]&lt;40000,"Under 40K", IF(bike_buyers[[#This Row],[Income]]&lt;60000,"40K-59K", IF(bike_buyers[[#This Row],[Income]]&lt;80000,"60K-79K", IF(bike_buyers[[#This Row],[Income]]&lt;100000,"80K-99K","100K+"))))</f>
        <v>80K-99K</v>
      </c>
      <c r="F372">
        <v>4</v>
      </c>
      <c r="G372" s="1" t="s">
        <v>29</v>
      </c>
      <c r="H372" s="1" t="s">
        <v>13</v>
      </c>
      <c r="I372" s="1" t="s">
        <v>17</v>
      </c>
      <c r="J372">
        <v>0</v>
      </c>
      <c r="K372" s="1" t="s">
        <v>15</v>
      </c>
      <c r="L372" s="1" t="s">
        <v>30</v>
      </c>
      <c r="M372">
        <v>47</v>
      </c>
      <c r="N372" s="1" t="str" cm="1">
        <f t="array" ref="N372">_xlfn.IFS(M372&lt;40, " Adult", M372&lt;60, "Middle Age", M372&gt;=60, "Older Adult")</f>
        <v>Middle Age</v>
      </c>
      <c r="O372" s="1" t="s">
        <v>17</v>
      </c>
      <c r="P372" s="1" t="b">
        <f>IF(O372="Yes", 1)</f>
        <v>0</v>
      </c>
      <c r="Q372" s="1"/>
    </row>
    <row r="373" spans="1:17" x14ac:dyDescent="0.25">
      <c r="A373">
        <v>23461</v>
      </c>
      <c r="B373" s="1" t="s">
        <v>31</v>
      </c>
      <c r="C373" s="1" t="s">
        <v>33</v>
      </c>
      <c r="D373" s="2">
        <v>90000</v>
      </c>
      <c r="E373" s="2" t="str">
        <f>IF(bike_buyers[[#This Row],[Income]]&lt;40000,"Under 40K", IF(bike_buyers[[#This Row],[Income]]&lt;60000,"40K-59K", IF(bike_buyers[[#This Row],[Income]]&lt;80000,"60K-79K", IF(bike_buyers[[#This Row],[Income]]&lt;100000,"80K-99K","100K+"))))</f>
        <v>80K-99K</v>
      </c>
      <c r="F373">
        <v>5</v>
      </c>
      <c r="G373" s="1" t="s">
        <v>18</v>
      </c>
      <c r="H373" s="1" t="s">
        <v>20</v>
      </c>
      <c r="I373" s="1" t="s">
        <v>14</v>
      </c>
      <c r="J373">
        <v>3</v>
      </c>
      <c r="K373" s="1" t="s">
        <v>21</v>
      </c>
      <c r="L373" s="1" t="s">
        <v>30</v>
      </c>
      <c r="M373">
        <v>40</v>
      </c>
      <c r="N373" s="1" t="str" cm="1">
        <f t="array" ref="N373">_xlfn.IFS(M373&lt;40, " Adult", M373&lt;60, "Middle Age", M373&gt;=60, "Older Adult")</f>
        <v>Middle Age</v>
      </c>
      <c r="O373" s="1" t="s">
        <v>17</v>
      </c>
      <c r="P373" s="1" t="b">
        <f>IF(O373="Yes", 1)</f>
        <v>0</v>
      </c>
      <c r="Q373" s="1"/>
    </row>
    <row r="374" spans="1:17" x14ac:dyDescent="0.25">
      <c r="A374">
        <v>28068</v>
      </c>
      <c r="B374" s="1" t="s">
        <v>34</v>
      </c>
      <c r="C374" s="1" t="s">
        <v>33</v>
      </c>
      <c r="D374" s="2">
        <v>80000</v>
      </c>
      <c r="E374" s="2" t="str">
        <f>IF(bike_buyers[[#This Row],[Income]]&lt;40000,"Under 40K", IF(bike_buyers[[#This Row],[Income]]&lt;60000,"40K-59K", IF(bike_buyers[[#This Row],[Income]]&lt;80000,"60K-79K", IF(bike_buyers[[#This Row],[Income]]&lt;100000,"80K-99K","100K+"))))</f>
        <v>80K-99K</v>
      </c>
      <c r="F374">
        <v>3</v>
      </c>
      <c r="G374" s="1" t="s">
        <v>29</v>
      </c>
      <c r="H374" s="1" t="s">
        <v>20</v>
      </c>
      <c r="I374" s="1" t="s">
        <v>17</v>
      </c>
      <c r="J374">
        <v>0</v>
      </c>
      <c r="K374" s="1" t="s">
        <v>15</v>
      </c>
      <c r="L374" s="1" t="s">
        <v>30</v>
      </c>
      <c r="M374">
        <v>36</v>
      </c>
      <c r="N374" s="1" t="str" cm="1">
        <f t="array" ref="N374">_xlfn.IFS(M374&lt;40, " Adult", M374&lt;60, "Middle Age", M374&gt;=60, "Older Adult")</f>
        <v xml:space="preserve"> Adult</v>
      </c>
      <c r="O374" s="1" t="s">
        <v>14</v>
      </c>
      <c r="P374" s="1">
        <f>IF(O374="Yes", 1)</f>
        <v>1</v>
      </c>
      <c r="Q374" s="1"/>
    </row>
    <row r="375" spans="1:17" x14ac:dyDescent="0.25">
      <c r="A375">
        <v>18390</v>
      </c>
      <c r="B375" s="1" t="s">
        <v>31</v>
      </c>
      <c r="C375" s="1" t="s">
        <v>32</v>
      </c>
      <c r="D375" s="2">
        <v>80000</v>
      </c>
      <c r="E375" s="2" t="str">
        <f>IF(bike_buyers[[#This Row],[Income]]&lt;40000,"Under 40K", IF(bike_buyers[[#This Row],[Income]]&lt;60000,"40K-59K", IF(bike_buyers[[#This Row],[Income]]&lt;80000,"60K-79K", IF(bike_buyers[[#This Row],[Income]]&lt;100000,"80K-99K","100K+"))))</f>
        <v>80K-99K</v>
      </c>
      <c r="F375">
        <v>5</v>
      </c>
      <c r="G375" s="1" t="s">
        <v>18</v>
      </c>
      <c r="H375" s="1" t="s">
        <v>20</v>
      </c>
      <c r="I375" s="1" t="s">
        <v>14</v>
      </c>
      <c r="J375">
        <v>2</v>
      </c>
      <c r="K375" s="1" t="s">
        <v>15</v>
      </c>
      <c r="L375" s="1" t="s">
        <v>30</v>
      </c>
      <c r="M375">
        <v>44</v>
      </c>
      <c r="N375" s="1" t="str" cm="1">
        <f t="array" ref="N375">_xlfn.IFS(M375&lt;40, " Adult", M375&lt;60, "Middle Age", M375&gt;=60, "Older Adult")</f>
        <v>Middle Age</v>
      </c>
      <c r="O375" s="1" t="s">
        <v>17</v>
      </c>
      <c r="P375" s="1" t="b">
        <f>IF(O375="Yes", 1)</f>
        <v>0</v>
      </c>
      <c r="Q375" s="1"/>
    </row>
    <row r="376" spans="1:17" x14ac:dyDescent="0.25">
      <c r="A376">
        <v>23479</v>
      </c>
      <c r="B376" s="1" t="s">
        <v>34</v>
      </c>
      <c r="C376" s="1" t="s">
        <v>32</v>
      </c>
      <c r="D376" s="2">
        <v>90000</v>
      </c>
      <c r="E376" s="2" t="str">
        <f>IF(bike_buyers[[#This Row],[Income]]&lt;40000,"Under 40K", IF(bike_buyers[[#This Row],[Income]]&lt;60000,"40K-59K", IF(bike_buyers[[#This Row],[Income]]&lt;80000,"60K-79K", IF(bike_buyers[[#This Row],[Income]]&lt;100000,"80K-99K","100K+"))))</f>
        <v>80K-99K</v>
      </c>
      <c r="F376">
        <v>0</v>
      </c>
      <c r="G376" s="1" t="s">
        <v>18</v>
      </c>
      <c r="H376" s="1" t="s">
        <v>20</v>
      </c>
      <c r="I376" s="1" t="s">
        <v>17</v>
      </c>
      <c r="J376">
        <v>2</v>
      </c>
      <c r="K376" s="1" t="s">
        <v>15</v>
      </c>
      <c r="L376" s="1" t="s">
        <v>30</v>
      </c>
      <c r="M376">
        <v>43</v>
      </c>
      <c r="N376" s="1" t="str" cm="1">
        <f t="array" ref="N376">_xlfn.IFS(M376&lt;40, " Adult", M376&lt;60, "Middle Age", M376&gt;=60, "Older Adult")</f>
        <v>Middle Age</v>
      </c>
      <c r="O376" s="1" t="s">
        <v>14</v>
      </c>
      <c r="P376" s="1">
        <f>IF(O376="Yes", 1)</f>
        <v>1</v>
      </c>
      <c r="Q376" s="1"/>
    </row>
    <row r="377" spans="1:17" x14ac:dyDescent="0.25">
      <c r="A377">
        <v>27198</v>
      </c>
      <c r="B377" s="1" t="s">
        <v>34</v>
      </c>
      <c r="C377" s="1" t="s">
        <v>33</v>
      </c>
      <c r="D377" s="2">
        <v>80000</v>
      </c>
      <c r="E377" s="2" t="str">
        <f>IF(bike_buyers[[#This Row],[Income]]&lt;40000,"Under 40K", IF(bike_buyers[[#This Row],[Income]]&lt;60000,"40K-59K", IF(bike_buyers[[#This Row],[Income]]&lt;80000,"60K-79K", IF(bike_buyers[[#This Row],[Income]]&lt;100000,"80K-99K","100K+"))))</f>
        <v>80K-99K</v>
      </c>
      <c r="F377">
        <v>0</v>
      </c>
      <c r="G377" s="1" t="s">
        <v>29</v>
      </c>
      <c r="H377" s="1" t="s">
        <v>13</v>
      </c>
      <c r="I377" s="1" t="s">
        <v>17</v>
      </c>
      <c r="J377">
        <v>0</v>
      </c>
      <c r="K377" s="1" t="s">
        <v>15</v>
      </c>
      <c r="L377" s="1" t="s">
        <v>30</v>
      </c>
      <c r="M377">
        <v>40</v>
      </c>
      <c r="N377" s="1" t="str" cm="1">
        <f t="array" ref="N377">_xlfn.IFS(M377&lt;40, " Adult", M377&lt;60, "Middle Age", M377&gt;=60, "Older Adult")</f>
        <v>Middle Age</v>
      </c>
      <c r="O377" s="1" t="s">
        <v>17</v>
      </c>
      <c r="P377" s="1" t="b">
        <f>IF(O377="Yes", 1)</f>
        <v>0</v>
      </c>
      <c r="Q377" s="1"/>
    </row>
    <row r="378" spans="1:17" x14ac:dyDescent="0.25">
      <c r="A378">
        <v>19661</v>
      </c>
      <c r="B378" s="1" t="s">
        <v>34</v>
      </c>
      <c r="C378" s="1" t="s">
        <v>32</v>
      </c>
      <c r="D378" s="2">
        <v>90000</v>
      </c>
      <c r="E378" s="2" t="str">
        <f>IF(bike_buyers[[#This Row],[Income]]&lt;40000,"Under 40K", IF(bike_buyers[[#This Row],[Income]]&lt;60000,"40K-59K", IF(bike_buyers[[#This Row],[Income]]&lt;80000,"60K-79K", IF(bike_buyers[[#This Row],[Income]]&lt;100000,"80K-99K","100K+"))))</f>
        <v>80K-99K</v>
      </c>
      <c r="F378">
        <v>4</v>
      </c>
      <c r="G378" s="1" t="s">
        <v>12</v>
      </c>
      <c r="H378" s="1" t="s">
        <v>27</v>
      </c>
      <c r="I378" s="1" t="s">
        <v>14</v>
      </c>
      <c r="J378">
        <v>1</v>
      </c>
      <c r="K378" s="1" t="s">
        <v>25</v>
      </c>
      <c r="L378" s="1" t="s">
        <v>30</v>
      </c>
      <c r="M378">
        <v>38</v>
      </c>
      <c r="N378" s="1" t="str" cm="1">
        <f t="array" ref="N378">_xlfn.IFS(M378&lt;40, " Adult", M378&lt;60, "Middle Age", M378&gt;=60, "Older Adult")</f>
        <v xml:space="preserve"> Adult</v>
      </c>
      <c r="O378" s="1" t="s">
        <v>14</v>
      </c>
      <c r="P378" s="1">
        <f>IF(O378="Yes", 1)</f>
        <v>1</v>
      </c>
      <c r="Q378" s="1"/>
    </row>
    <row r="379" spans="1:17" x14ac:dyDescent="0.25">
      <c r="A379">
        <v>26678</v>
      </c>
      <c r="B379" s="1" t="s">
        <v>34</v>
      </c>
      <c r="C379" s="1" t="s">
        <v>33</v>
      </c>
      <c r="D379" s="2">
        <v>80000</v>
      </c>
      <c r="E379" s="2" t="str">
        <f>IF(bike_buyers[[#This Row],[Income]]&lt;40000,"Under 40K", IF(bike_buyers[[#This Row],[Income]]&lt;60000,"40K-59K", IF(bike_buyers[[#This Row],[Income]]&lt;80000,"60K-79K", IF(bike_buyers[[#This Row],[Income]]&lt;100000,"80K-99K","100K+"))))</f>
        <v>80K-99K</v>
      </c>
      <c r="F379">
        <v>2</v>
      </c>
      <c r="G379" s="1" t="s">
        <v>28</v>
      </c>
      <c r="H379" s="1" t="s">
        <v>13</v>
      </c>
      <c r="I379" s="1" t="s">
        <v>14</v>
      </c>
      <c r="J379">
        <v>2</v>
      </c>
      <c r="K379" s="1" t="s">
        <v>22</v>
      </c>
      <c r="L379" s="1" t="s">
        <v>30</v>
      </c>
      <c r="M379">
        <v>49</v>
      </c>
      <c r="N379" s="1" t="str" cm="1">
        <f t="array" ref="N379">_xlfn.IFS(M379&lt;40, " Adult", M379&lt;60, "Middle Age", M379&gt;=60, "Older Adult")</f>
        <v>Middle Age</v>
      </c>
      <c r="O379" s="1" t="s">
        <v>17</v>
      </c>
      <c r="P379" s="1" t="b">
        <f>IF(O379="Yes", 1)</f>
        <v>0</v>
      </c>
      <c r="Q379" s="1"/>
    </row>
    <row r="380" spans="1:17" x14ac:dyDescent="0.25">
      <c r="A380">
        <v>21714</v>
      </c>
      <c r="B380" s="1" t="s">
        <v>34</v>
      </c>
      <c r="C380" s="1" t="s">
        <v>33</v>
      </c>
      <c r="D380" s="2">
        <v>80000</v>
      </c>
      <c r="E380" s="2" t="str">
        <f>IF(bike_buyers[[#This Row],[Income]]&lt;40000,"Under 40K", IF(bike_buyers[[#This Row],[Income]]&lt;60000,"40K-59K", IF(bike_buyers[[#This Row],[Income]]&lt;80000,"60K-79K", IF(bike_buyers[[#This Row],[Income]]&lt;100000,"80K-99K","100K+"))))</f>
        <v>80K-99K</v>
      </c>
      <c r="F380">
        <v>5</v>
      </c>
      <c r="G380" s="1" t="s">
        <v>29</v>
      </c>
      <c r="H380" s="1" t="s">
        <v>13</v>
      </c>
      <c r="I380" s="1" t="s">
        <v>17</v>
      </c>
      <c r="J380">
        <v>0</v>
      </c>
      <c r="K380" s="1" t="s">
        <v>15</v>
      </c>
      <c r="L380" s="1" t="s">
        <v>30</v>
      </c>
      <c r="M380">
        <v>47</v>
      </c>
      <c r="N380" s="1" t="str" cm="1">
        <f t="array" ref="N380">_xlfn.IFS(M380&lt;40, " Adult", M380&lt;60, "Middle Age", M380&gt;=60, "Older Adult")</f>
        <v>Middle Age</v>
      </c>
      <c r="O380" s="1" t="s">
        <v>17</v>
      </c>
      <c r="P380" s="1" t="b">
        <f>IF(O380="Yes", 1)</f>
        <v>0</v>
      </c>
      <c r="Q380" s="1"/>
    </row>
    <row r="381" spans="1:17" x14ac:dyDescent="0.25">
      <c r="A381">
        <v>14657</v>
      </c>
      <c r="B381" s="1" t="s">
        <v>31</v>
      </c>
      <c r="C381" s="1" t="s">
        <v>32</v>
      </c>
      <c r="D381" s="2">
        <v>80000</v>
      </c>
      <c r="E381" s="2" t="str">
        <f>IF(bike_buyers[[#This Row],[Income]]&lt;40000,"Under 40K", IF(bike_buyers[[#This Row],[Income]]&lt;60000,"40K-59K", IF(bike_buyers[[#This Row],[Income]]&lt;80000,"60K-79K", IF(bike_buyers[[#This Row],[Income]]&lt;100000,"80K-99K","100K+"))))</f>
        <v>80K-99K</v>
      </c>
      <c r="F381">
        <v>1</v>
      </c>
      <c r="G381" s="1" t="s">
        <v>18</v>
      </c>
      <c r="H381" s="1" t="s">
        <v>13</v>
      </c>
      <c r="I381" s="1" t="s">
        <v>17</v>
      </c>
      <c r="J381">
        <v>1</v>
      </c>
      <c r="K381" s="1" t="s">
        <v>15</v>
      </c>
      <c r="L381" s="1" t="s">
        <v>30</v>
      </c>
      <c r="M381">
        <v>47</v>
      </c>
      <c r="N381" s="1" t="str" cm="1">
        <f t="array" ref="N381">_xlfn.IFS(M381&lt;40, " Adult", M381&lt;60, "Middle Age", M381&gt;=60, "Older Adult")</f>
        <v>Middle Age</v>
      </c>
      <c r="O381" s="1" t="s">
        <v>14</v>
      </c>
      <c r="P381" s="1">
        <f>IF(O381="Yes", 1)</f>
        <v>1</v>
      </c>
      <c r="Q381" s="1"/>
    </row>
    <row r="382" spans="1:17" x14ac:dyDescent="0.25">
      <c r="A382">
        <v>14602</v>
      </c>
      <c r="B382" s="1" t="s">
        <v>31</v>
      </c>
      <c r="C382" s="1" t="s">
        <v>33</v>
      </c>
      <c r="D382" s="2">
        <v>80000</v>
      </c>
      <c r="E382" s="2" t="str">
        <f>IF(bike_buyers[[#This Row],[Income]]&lt;40000,"Under 40K", IF(bike_buyers[[#This Row],[Income]]&lt;60000,"40K-59K", IF(bike_buyers[[#This Row],[Income]]&lt;80000,"60K-79K", IF(bike_buyers[[#This Row],[Income]]&lt;100000,"80K-99K","100K+"))))</f>
        <v>80K-99K</v>
      </c>
      <c r="F382">
        <v>3</v>
      </c>
      <c r="G382" s="1" t="s">
        <v>29</v>
      </c>
      <c r="H382" s="1" t="s">
        <v>20</v>
      </c>
      <c r="I382" s="1" t="s">
        <v>14</v>
      </c>
      <c r="J382">
        <v>0</v>
      </c>
      <c r="K382" s="1" t="s">
        <v>15</v>
      </c>
      <c r="L382" s="1" t="s">
        <v>30</v>
      </c>
      <c r="M382">
        <v>36</v>
      </c>
      <c r="N382" s="1" t="str" cm="1">
        <f t="array" ref="N382">_xlfn.IFS(M382&lt;40, " Adult", M382&lt;60, "Middle Age", M382&gt;=60, "Older Adult")</f>
        <v xml:space="preserve"> Adult</v>
      </c>
      <c r="O382" s="1" t="s">
        <v>14</v>
      </c>
      <c r="P382" s="1">
        <f>IF(O382="Yes", 1)</f>
        <v>1</v>
      </c>
      <c r="Q382" s="1"/>
    </row>
    <row r="383" spans="1:17" x14ac:dyDescent="0.25">
      <c r="A383">
        <v>17260</v>
      </c>
      <c r="B383" s="1" t="s">
        <v>31</v>
      </c>
      <c r="C383" s="1" t="s">
        <v>32</v>
      </c>
      <c r="D383" s="2">
        <v>90000</v>
      </c>
      <c r="E383" s="2" t="str">
        <f>IF(bike_buyers[[#This Row],[Income]]&lt;40000,"Under 40K", IF(bike_buyers[[#This Row],[Income]]&lt;60000,"40K-59K", IF(bike_buyers[[#This Row],[Income]]&lt;80000,"60K-79K", IF(bike_buyers[[#This Row],[Income]]&lt;100000,"80K-99K","100K+"))))</f>
        <v>80K-99K</v>
      </c>
      <c r="F383">
        <v>5</v>
      </c>
      <c r="G383" s="1" t="s">
        <v>18</v>
      </c>
      <c r="H383" s="1" t="s">
        <v>20</v>
      </c>
      <c r="I383" s="1" t="s">
        <v>14</v>
      </c>
      <c r="J383">
        <v>3</v>
      </c>
      <c r="K383" s="1" t="s">
        <v>15</v>
      </c>
      <c r="L383" s="1" t="s">
        <v>30</v>
      </c>
      <c r="M383">
        <v>41</v>
      </c>
      <c r="N383" s="1" t="str" cm="1">
        <f t="array" ref="N383">_xlfn.IFS(M383&lt;40, " Adult", M383&lt;60, "Middle Age", M383&gt;=60, "Older Adult")</f>
        <v>Middle Age</v>
      </c>
      <c r="O383" s="1" t="s">
        <v>17</v>
      </c>
      <c r="P383" s="1" t="b">
        <f>IF(O383="Yes", 1)</f>
        <v>0</v>
      </c>
      <c r="Q383" s="1"/>
    </row>
    <row r="384" spans="1:17" x14ac:dyDescent="0.25">
      <c r="A384">
        <v>15372</v>
      </c>
      <c r="B384" s="1" t="s">
        <v>31</v>
      </c>
      <c r="C384" s="1" t="s">
        <v>32</v>
      </c>
      <c r="D384" s="2">
        <v>80000</v>
      </c>
      <c r="E384" s="2" t="str">
        <f>IF(bike_buyers[[#This Row],[Income]]&lt;40000,"Under 40K", IF(bike_buyers[[#This Row],[Income]]&lt;60000,"40K-59K", IF(bike_buyers[[#This Row],[Income]]&lt;80000,"60K-79K", IF(bike_buyers[[#This Row],[Income]]&lt;100000,"80K-99K","100K+"))))</f>
        <v>80K-99K</v>
      </c>
      <c r="F384">
        <v>3</v>
      </c>
      <c r="G384" s="1" t="s">
        <v>18</v>
      </c>
      <c r="H384" s="1" t="s">
        <v>20</v>
      </c>
      <c r="I384" s="1" t="s">
        <v>17</v>
      </c>
      <c r="J384">
        <v>2</v>
      </c>
      <c r="K384" s="1" t="s">
        <v>21</v>
      </c>
      <c r="L384" s="1" t="s">
        <v>30</v>
      </c>
      <c r="M384">
        <v>50</v>
      </c>
      <c r="N384" s="1" t="str" cm="1">
        <f t="array" ref="N384">_xlfn.IFS(M384&lt;40, " Adult", M384&lt;60, "Middle Age", M384&gt;=60, "Older Adult")</f>
        <v>Middle Age</v>
      </c>
      <c r="O384" s="1" t="s">
        <v>14</v>
      </c>
      <c r="P384" s="1">
        <f>IF(O384="Yes", 1)</f>
        <v>1</v>
      </c>
      <c r="Q384" s="1"/>
    </row>
    <row r="385" spans="1:17" x14ac:dyDescent="0.25">
      <c r="A385">
        <v>19660</v>
      </c>
      <c r="B385" s="1" t="s">
        <v>31</v>
      </c>
      <c r="C385" s="1" t="s">
        <v>32</v>
      </c>
      <c r="D385" s="2">
        <v>80000</v>
      </c>
      <c r="E385" s="2" t="str">
        <f>IF(bike_buyers[[#This Row],[Income]]&lt;40000,"Under 40K", IF(bike_buyers[[#This Row],[Income]]&lt;60000,"40K-59K", IF(bike_buyers[[#This Row],[Income]]&lt;80000,"60K-79K", IF(bike_buyers[[#This Row],[Income]]&lt;100000,"80K-99K","100K+"))))</f>
        <v>80K-99K</v>
      </c>
      <c r="F385">
        <v>4</v>
      </c>
      <c r="G385" s="1" t="s">
        <v>12</v>
      </c>
      <c r="H385" s="1" t="s">
        <v>27</v>
      </c>
      <c r="I385" s="1" t="s">
        <v>14</v>
      </c>
      <c r="J385">
        <v>0</v>
      </c>
      <c r="K385" s="1" t="s">
        <v>15</v>
      </c>
      <c r="L385" s="1" t="s">
        <v>30</v>
      </c>
      <c r="M385">
        <v>43</v>
      </c>
      <c r="N385" s="1" t="str" cm="1">
        <f t="array" ref="N385">_xlfn.IFS(M385&lt;40, " Adult", M385&lt;60, "Middle Age", M385&gt;=60, "Older Adult")</f>
        <v>Middle Age</v>
      </c>
      <c r="O385" s="1" t="s">
        <v>17</v>
      </c>
      <c r="P385" s="1" t="b">
        <f>IF(O385="Yes", 1)</f>
        <v>0</v>
      </c>
      <c r="Q385" s="1"/>
    </row>
    <row r="386" spans="1:17" x14ac:dyDescent="0.25">
      <c r="A386">
        <v>28228</v>
      </c>
      <c r="B386" s="1" t="s">
        <v>34</v>
      </c>
      <c r="C386" s="1" t="s">
        <v>33</v>
      </c>
      <c r="D386" s="2">
        <v>80000</v>
      </c>
      <c r="E386" s="2" t="str">
        <f>IF(bike_buyers[[#This Row],[Income]]&lt;40000,"Under 40K", IF(bike_buyers[[#This Row],[Income]]&lt;60000,"40K-59K", IF(bike_buyers[[#This Row],[Income]]&lt;80000,"60K-79K", IF(bike_buyers[[#This Row],[Income]]&lt;100000,"80K-99K","100K+"))))</f>
        <v>80K-99K</v>
      </c>
      <c r="F386">
        <v>2</v>
      </c>
      <c r="G386" s="1" t="s">
        <v>28</v>
      </c>
      <c r="H386" s="1" t="s">
        <v>13</v>
      </c>
      <c r="I386" s="1" t="s">
        <v>17</v>
      </c>
      <c r="J386">
        <v>2</v>
      </c>
      <c r="K386" s="1" t="s">
        <v>25</v>
      </c>
      <c r="L386" s="1" t="s">
        <v>30</v>
      </c>
      <c r="M386">
        <v>50</v>
      </c>
      <c r="N386" s="1" t="str" cm="1">
        <f t="array" ref="N386">_xlfn.IFS(M386&lt;40, " Adult", M386&lt;60, "Middle Age", M386&gt;=60, "Older Adult")</f>
        <v>Middle Age</v>
      </c>
      <c r="O386" s="1" t="s">
        <v>17</v>
      </c>
      <c r="P386" s="1" t="b">
        <f>IF(O386="Yes", 1)</f>
        <v>0</v>
      </c>
      <c r="Q386" s="1"/>
    </row>
    <row r="387" spans="1:17" x14ac:dyDescent="0.25">
      <c r="A387">
        <v>13911</v>
      </c>
      <c r="B387" s="1" t="s">
        <v>34</v>
      </c>
      <c r="C387" s="1" t="s">
        <v>33</v>
      </c>
      <c r="D387" s="2">
        <v>80000</v>
      </c>
      <c r="E387" s="2" t="str">
        <f>IF(bike_buyers[[#This Row],[Income]]&lt;40000,"Under 40K", IF(bike_buyers[[#This Row],[Income]]&lt;60000,"40K-59K", IF(bike_buyers[[#This Row],[Income]]&lt;80000,"60K-79K", IF(bike_buyers[[#This Row],[Income]]&lt;100000,"80K-99K","100K+"))))</f>
        <v>80K-99K</v>
      </c>
      <c r="F387">
        <v>3</v>
      </c>
      <c r="G387" s="1" t="s">
        <v>12</v>
      </c>
      <c r="H387" s="1" t="s">
        <v>13</v>
      </c>
      <c r="I387" s="1" t="s">
        <v>14</v>
      </c>
      <c r="J387">
        <v>2</v>
      </c>
      <c r="K387" s="1" t="s">
        <v>21</v>
      </c>
      <c r="L387" s="1" t="s">
        <v>30</v>
      </c>
      <c r="M387">
        <v>41</v>
      </c>
      <c r="N387" s="1" t="str" cm="1">
        <f t="array" ref="N387">_xlfn.IFS(M387&lt;40, " Adult", M387&lt;60, "Middle Age", M387&gt;=60, "Older Adult")</f>
        <v>Middle Age</v>
      </c>
      <c r="O387" s="1" t="s">
        <v>14</v>
      </c>
      <c r="P387" s="1">
        <f>IF(O387="Yes", 1)</f>
        <v>1</v>
      </c>
      <c r="Q387" s="1"/>
    </row>
    <row r="388" spans="1:17" x14ac:dyDescent="0.25">
      <c r="A388">
        <v>19143</v>
      </c>
      <c r="B388" s="1" t="s">
        <v>34</v>
      </c>
      <c r="C388" s="1" t="s">
        <v>33</v>
      </c>
      <c r="D388" s="2">
        <v>80000</v>
      </c>
      <c r="E388" s="2" t="str">
        <f>IF(bike_buyers[[#This Row],[Income]]&lt;40000,"Under 40K", IF(bike_buyers[[#This Row],[Income]]&lt;60000,"40K-59K", IF(bike_buyers[[#This Row],[Income]]&lt;80000,"60K-79K", IF(bike_buyers[[#This Row],[Income]]&lt;100000,"80K-99K","100K+"))))</f>
        <v>80K-99K</v>
      </c>
      <c r="F388">
        <v>3</v>
      </c>
      <c r="G388" s="1" t="s">
        <v>12</v>
      </c>
      <c r="H388" s="1" t="s">
        <v>13</v>
      </c>
      <c r="I388" s="1" t="s">
        <v>14</v>
      </c>
      <c r="J388">
        <v>2</v>
      </c>
      <c r="K388" s="1" t="s">
        <v>21</v>
      </c>
      <c r="L388" s="1" t="s">
        <v>30</v>
      </c>
      <c r="M388">
        <v>41</v>
      </c>
      <c r="N388" s="1" t="str" cm="1">
        <f t="array" ref="N388">_xlfn.IFS(M388&lt;40, " Adult", M388&lt;60, "Middle Age", M388&gt;=60, "Older Adult")</f>
        <v>Middle Age</v>
      </c>
      <c r="O388" s="1" t="s">
        <v>14</v>
      </c>
      <c r="P388" s="1">
        <f>IF(O388="Yes", 1)</f>
        <v>1</v>
      </c>
      <c r="Q388" s="1"/>
    </row>
    <row r="389" spans="1:17" x14ac:dyDescent="0.25">
      <c r="A389">
        <v>23882</v>
      </c>
      <c r="B389" s="1" t="s">
        <v>34</v>
      </c>
      <c r="C389" s="1" t="s">
        <v>33</v>
      </c>
      <c r="D389" s="2">
        <v>80000</v>
      </c>
      <c r="E389" s="2" t="str">
        <f>IF(bike_buyers[[#This Row],[Income]]&lt;40000,"Under 40K", IF(bike_buyers[[#This Row],[Income]]&lt;60000,"40K-59K", IF(bike_buyers[[#This Row],[Income]]&lt;80000,"60K-79K", IF(bike_buyers[[#This Row],[Income]]&lt;100000,"80K-99K","100K+"))))</f>
        <v>80K-99K</v>
      </c>
      <c r="F389">
        <v>3</v>
      </c>
      <c r="G389" s="1" t="s">
        <v>29</v>
      </c>
      <c r="H389" s="1" t="s">
        <v>20</v>
      </c>
      <c r="I389" s="1" t="s">
        <v>14</v>
      </c>
      <c r="J389">
        <v>0</v>
      </c>
      <c r="K389" s="1" t="s">
        <v>15</v>
      </c>
      <c r="L389" s="1" t="s">
        <v>30</v>
      </c>
      <c r="M389">
        <v>37</v>
      </c>
      <c r="N389" s="1" t="str" cm="1">
        <f t="array" ref="N389">_xlfn.IFS(M389&lt;40, " Adult", M389&lt;60, "Middle Age", M389&gt;=60, "Older Adult")</f>
        <v xml:space="preserve"> Adult</v>
      </c>
      <c r="O389" s="1" t="s">
        <v>14</v>
      </c>
      <c r="P389" s="1">
        <f>IF(O389="Yes", 1)</f>
        <v>1</v>
      </c>
      <c r="Q389" s="1"/>
    </row>
    <row r="390" spans="1:17" x14ac:dyDescent="0.25">
      <c r="A390">
        <v>18423</v>
      </c>
      <c r="B390" s="1" t="s">
        <v>34</v>
      </c>
      <c r="C390" s="1" t="s">
        <v>32</v>
      </c>
      <c r="D390" s="2">
        <v>80000</v>
      </c>
      <c r="E390" s="2" t="str">
        <f>IF(bike_buyers[[#This Row],[Income]]&lt;40000,"Under 40K", IF(bike_buyers[[#This Row],[Income]]&lt;60000,"40K-59K", IF(bike_buyers[[#This Row],[Income]]&lt;80000,"60K-79K", IF(bike_buyers[[#This Row],[Income]]&lt;100000,"80K-99K","100K+"))))</f>
        <v>80K-99K</v>
      </c>
      <c r="F390">
        <v>2</v>
      </c>
      <c r="G390" s="1" t="s">
        <v>28</v>
      </c>
      <c r="H390" s="1" t="s">
        <v>13</v>
      </c>
      <c r="I390" s="1" t="s">
        <v>17</v>
      </c>
      <c r="J390">
        <v>2</v>
      </c>
      <c r="K390" s="1" t="s">
        <v>25</v>
      </c>
      <c r="L390" s="1" t="s">
        <v>30</v>
      </c>
      <c r="M390">
        <v>52</v>
      </c>
      <c r="N390" s="1" t="str" cm="1">
        <f t="array" ref="N390">_xlfn.IFS(M390&lt;40, " Adult", M390&lt;60, "Middle Age", M390&gt;=60, "Older Adult")</f>
        <v>Middle Age</v>
      </c>
      <c r="O390" s="1" t="s">
        <v>17</v>
      </c>
      <c r="P390" s="1" t="b">
        <f>IF(O390="Yes", 1)</f>
        <v>0</v>
      </c>
      <c r="Q390" s="1"/>
    </row>
    <row r="391" spans="1:17" x14ac:dyDescent="0.25">
      <c r="A391">
        <v>18783</v>
      </c>
      <c r="B391" s="1" t="s">
        <v>34</v>
      </c>
      <c r="C391" s="1" t="s">
        <v>32</v>
      </c>
      <c r="D391" s="2">
        <v>80000</v>
      </c>
      <c r="E391" s="2" t="str">
        <f>IF(bike_buyers[[#This Row],[Income]]&lt;40000,"Under 40K", IF(bike_buyers[[#This Row],[Income]]&lt;60000,"40K-59K", IF(bike_buyers[[#This Row],[Income]]&lt;80000,"60K-79K", IF(bike_buyers[[#This Row],[Income]]&lt;100000,"80K-99K","100K+"))))</f>
        <v>80K-99K</v>
      </c>
      <c r="F391">
        <v>0</v>
      </c>
      <c r="G391" s="1" t="s">
        <v>12</v>
      </c>
      <c r="H391" s="1" t="s">
        <v>27</v>
      </c>
      <c r="I391" s="1" t="s">
        <v>17</v>
      </c>
      <c r="J391">
        <v>1</v>
      </c>
      <c r="K391" s="1" t="s">
        <v>15</v>
      </c>
      <c r="L391" s="1" t="s">
        <v>30</v>
      </c>
      <c r="M391">
        <v>38</v>
      </c>
      <c r="N391" s="1" t="str" cm="1">
        <f t="array" ref="N391">_xlfn.IFS(M391&lt;40, " Adult", M391&lt;60, "Middle Age", M391&gt;=60, "Older Adult")</f>
        <v xml:space="preserve"> Adult</v>
      </c>
      <c r="O391" s="1" t="s">
        <v>14</v>
      </c>
      <c r="P391" s="1">
        <f>IF(O391="Yes", 1)</f>
        <v>1</v>
      </c>
      <c r="Q391" s="1"/>
    </row>
    <row r="392" spans="1:17" x14ac:dyDescent="0.25">
      <c r="A392">
        <v>22046</v>
      </c>
      <c r="B392" s="1" t="s">
        <v>34</v>
      </c>
      <c r="C392" s="1" t="s">
        <v>33</v>
      </c>
      <c r="D392" s="2">
        <v>80000</v>
      </c>
      <c r="E392" s="2" t="str">
        <f>IF(bike_buyers[[#This Row],[Income]]&lt;40000,"Under 40K", IF(bike_buyers[[#This Row],[Income]]&lt;60000,"40K-59K", IF(bike_buyers[[#This Row],[Income]]&lt;80000,"60K-79K", IF(bike_buyers[[#This Row],[Income]]&lt;100000,"80K-99K","100K+"))))</f>
        <v>80K-99K</v>
      </c>
      <c r="F392">
        <v>0</v>
      </c>
      <c r="G392" s="1" t="s">
        <v>12</v>
      </c>
      <c r="H392" s="1" t="s">
        <v>27</v>
      </c>
      <c r="I392" s="1" t="s">
        <v>17</v>
      </c>
      <c r="J392">
        <v>1</v>
      </c>
      <c r="K392" s="1" t="s">
        <v>15</v>
      </c>
      <c r="L392" s="1" t="s">
        <v>30</v>
      </c>
      <c r="M392">
        <v>38</v>
      </c>
      <c r="N392" s="1" t="str" cm="1">
        <f t="array" ref="N392">_xlfn.IFS(M392&lt;40, " Adult", M392&lt;60, "Middle Age", M392&gt;=60, "Older Adult")</f>
        <v xml:space="preserve"> Adult</v>
      </c>
      <c r="O392" s="1" t="s">
        <v>14</v>
      </c>
      <c r="P392" s="1">
        <f>IF(O392="Yes", 1)</f>
        <v>1</v>
      </c>
      <c r="Q392" s="1"/>
    </row>
    <row r="393" spans="1:17" x14ac:dyDescent="0.25">
      <c r="A393">
        <v>24416</v>
      </c>
      <c r="B393" s="1" t="s">
        <v>31</v>
      </c>
      <c r="C393" s="1" t="s">
        <v>32</v>
      </c>
      <c r="D393" s="2">
        <v>90000</v>
      </c>
      <c r="E393" s="2" t="str">
        <f>IF(bike_buyers[[#This Row],[Income]]&lt;40000,"Under 40K", IF(bike_buyers[[#This Row],[Income]]&lt;60000,"40K-59K", IF(bike_buyers[[#This Row],[Income]]&lt;80000,"60K-79K", IF(bike_buyers[[#This Row],[Income]]&lt;100000,"80K-99K","100K+"))))</f>
        <v>80K-99K</v>
      </c>
      <c r="F393">
        <v>4</v>
      </c>
      <c r="G393" s="1" t="s">
        <v>26</v>
      </c>
      <c r="H393" s="1" t="s">
        <v>20</v>
      </c>
      <c r="I393" s="1" t="s">
        <v>14</v>
      </c>
      <c r="J393">
        <v>2</v>
      </c>
      <c r="K393" s="1" t="s">
        <v>25</v>
      </c>
      <c r="L393" s="1" t="s">
        <v>30</v>
      </c>
      <c r="M393">
        <v>45</v>
      </c>
      <c r="N393" s="1" t="str" cm="1">
        <f t="array" ref="N393">_xlfn.IFS(M393&lt;40, " Adult", M393&lt;60, "Middle Age", M393&gt;=60, "Older Adult")</f>
        <v>Middle Age</v>
      </c>
      <c r="O393" s="1" t="s">
        <v>17</v>
      </c>
      <c r="P393" s="1" t="b">
        <f>IF(O393="Yes", 1)</f>
        <v>0</v>
      </c>
      <c r="Q393" s="1"/>
    </row>
    <row r="394" spans="1:17" x14ac:dyDescent="0.25">
      <c r="A394">
        <v>28066</v>
      </c>
      <c r="B394" s="1" t="s">
        <v>31</v>
      </c>
      <c r="C394" s="1" t="s">
        <v>32</v>
      </c>
      <c r="D394" s="2">
        <v>80000</v>
      </c>
      <c r="E394" s="2" t="str">
        <f>IF(bike_buyers[[#This Row],[Income]]&lt;40000,"Under 40K", IF(bike_buyers[[#This Row],[Income]]&lt;60000,"40K-59K", IF(bike_buyers[[#This Row],[Income]]&lt;80000,"60K-79K", IF(bike_buyers[[#This Row],[Income]]&lt;100000,"80K-99K","100K+"))))</f>
        <v>80K-99K</v>
      </c>
      <c r="F394">
        <v>2</v>
      </c>
      <c r="G394" s="1" t="s">
        <v>29</v>
      </c>
      <c r="H394" s="1" t="s">
        <v>20</v>
      </c>
      <c r="I394" s="1" t="s">
        <v>14</v>
      </c>
      <c r="J394">
        <v>0</v>
      </c>
      <c r="K394" s="1" t="s">
        <v>15</v>
      </c>
      <c r="L394" s="1" t="s">
        <v>30</v>
      </c>
      <c r="M394">
        <v>37</v>
      </c>
      <c r="N394" s="1" t="str" cm="1">
        <f t="array" ref="N394">_xlfn.IFS(M394&lt;40, " Adult", M394&lt;60, "Middle Age", M394&gt;=60, "Older Adult")</f>
        <v xml:space="preserve"> Adult</v>
      </c>
      <c r="O394" s="1" t="s">
        <v>14</v>
      </c>
      <c r="P394" s="1">
        <f>IF(O394="Yes", 1)</f>
        <v>1</v>
      </c>
      <c r="Q394" s="1"/>
    </row>
    <row r="395" spans="1:17" x14ac:dyDescent="0.25">
      <c r="A395">
        <v>11275</v>
      </c>
      <c r="B395" s="1" t="s">
        <v>31</v>
      </c>
      <c r="C395" s="1" t="s">
        <v>33</v>
      </c>
      <c r="D395" s="2">
        <v>80000</v>
      </c>
      <c r="E395" s="2" t="str">
        <f>IF(bike_buyers[[#This Row],[Income]]&lt;40000,"Under 40K", IF(bike_buyers[[#This Row],[Income]]&lt;60000,"40K-59K", IF(bike_buyers[[#This Row],[Income]]&lt;80000,"60K-79K", IF(bike_buyers[[#This Row],[Income]]&lt;100000,"80K-99K","100K+"))))</f>
        <v>80K-99K</v>
      </c>
      <c r="F395">
        <v>4</v>
      </c>
      <c r="G395" s="1" t="s">
        <v>29</v>
      </c>
      <c r="H395" s="1" t="s">
        <v>27</v>
      </c>
      <c r="I395" s="1" t="s">
        <v>14</v>
      </c>
      <c r="J395">
        <v>2</v>
      </c>
      <c r="K395" s="1" t="s">
        <v>15</v>
      </c>
      <c r="L395" s="1" t="s">
        <v>30</v>
      </c>
      <c r="M395">
        <v>72</v>
      </c>
      <c r="N395" s="1" t="str" cm="1">
        <f t="array" ref="N395">_xlfn.IFS(M395&lt;40, " Adult", M395&lt;60, "Middle Age", M395&gt;=60, "Older Adult")</f>
        <v>Older Adult</v>
      </c>
      <c r="O395" s="1" t="s">
        <v>14</v>
      </c>
      <c r="P395" s="1">
        <f>IF(O395="Yes", 1)</f>
        <v>1</v>
      </c>
      <c r="Q395" s="1"/>
    </row>
    <row r="396" spans="1:17" x14ac:dyDescent="0.25">
      <c r="A396">
        <v>19731</v>
      </c>
      <c r="B396" s="1" t="s">
        <v>31</v>
      </c>
      <c r="C396" s="1" t="s">
        <v>32</v>
      </c>
      <c r="D396" s="2">
        <v>80000</v>
      </c>
      <c r="E396" s="2" t="str">
        <f>IF(bike_buyers[[#This Row],[Income]]&lt;40000,"Under 40K", IF(bike_buyers[[#This Row],[Income]]&lt;60000,"40K-59K", IF(bike_buyers[[#This Row],[Income]]&lt;80000,"60K-79K", IF(bike_buyers[[#This Row],[Income]]&lt;100000,"80K-99K","100K+"))))</f>
        <v>80K-99K</v>
      </c>
      <c r="F396">
        <v>4</v>
      </c>
      <c r="G396" s="1" t="s">
        <v>29</v>
      </c>
      <c r="H396" s="1" t="s">
        <v>27</v>
      </c>
      <c r="I396" s="1" t="s">
        <v>14</v>
      </c>
      <c r="J396">
        <v>2</v>
      </c>
      <c r="K396" s="1" t="s">
        <v>22</v>
      </c>
      <c r="L396" s="1" t="s">
        <v>30</v>
      </c>
      <c r="M396">
        <v>68</v>
      </c>
      <c r="N396" s="1" t="str" cm="1">
        <f t="array" ref="N396">_xlfn.IFS(M396&lt;40, " Adult", M396&lt;60, "Middle Age", M396&gt;=60, "Older Adult")</f>
        <v>Older Adult</v>
      </c>
      <c r="O396" s="1" t="s">
        <v>17</v>
      </c>
      <c r="P396" s="1" t="b">
        <f>IF(O396="Yes", 1)</f>
        <v>0</v>
      </c>
      <c r="Q396" s="1"/>
    </row>
    <row r="397" spans="1:17" x14ac:dyDescent="0.25">
      <c r="A397">
        <v>28858</v>
      </c>
      <c r="B397" s="1" t="s">
        <v>34</v>
      </c>
      <c r="C397" s="1" t="s">
        <v>32</v>
      </c>
      <c r="D397" s="2">
        <v>80000</v>
      </c>
      <c r="E397" s="2" t="str">
        <f>IF(bike_buyers[[#This Row],[Income]]&lt;40000,"Under 40K", IF(bike_buyers[[#This Row],[Income]]&lt;60000,"40K-59K", IF(bike_buyers[[#This Row],[Income]]&lt;80000,"60K-79K", IF(bike_buyers[[#This Row],[Income]]&lt;100000,"80K-99K","100K+"))))</f>
        <v>80K-99K</v>
      </c>
      <c r="F397">
        <v>3</v>
      </c>
      <c r="G397" s="1" t="s">
        <v>12</v>
      </c>
      <c r="H397" s="1" t="s">
        <v>13</v>
      </c>
      <c r="I397" s="1" t="s">
        <v>14</v>
      </c>
      <c r="J397">
        <v>0</v>
      </c>
      <c r="K397" s="1" t="s">
        <v>21</v>
      </c>
      <c r="L397" s="1" t="s">
        <v>30</v>
      </c>
      <c r="M397">
        <v>40</v>
      </c>
      <c r="N397" s="1" t="str" cm="1">
        <f t="array" ref="N397">_xlfn.IFS(M397&lt;40, " Adult", M397&lt;60, "Middle Age", M397&gt;=60, "Older Adult")</f>
        <v>Middle Age</v>
      </c>
      <c r="O397" s="1" t="s">
        <v>17</v>
      </c>
      <c r="P397" s="1" t="b">
        <f>IF(O397="Yes", 1)</f>
        <v>0</v>
      </c>
      <c r="Q397" s="1"/>
    </row>
    <row r="398" spans="1:17" x14ac:dyDescent="0.25">
      <c r="A398">
        <v>14432</v>
      </c>
      <c r="B398" s="1" t="s">
        <v>34</v>
      </c>
      <c r="C398" s="1" t="s">
        <v>32</v>
      </c>
      <c r="D398" s="2">
        <v>90000</v>
      </c>
      <c r="E398" s="2" t="str">
        <f>IF(bike_buyers[[#This Row],[Income]]&lt;40000,"Under 40K", IF(bike_buyers[[#This Row],[Income]]&lt;60000,"40K-59K", IF(bike_buyers[[#This Row],[Income]]&lt;80000,"60K-79K", IF(bike_buyers[[#This Row],[Income]]&lt;100000,"80K-99K","100K+"))))</f>
        <v>80K-99K</v>
      </c>
      <c r="F398">
        <v>4</v>
      </c>
      <c r="G398" s="1" t="s">
        <v>29</v>
      </c>
      <c r="H398" s="1" t="s">
        <v>27</v>
      </c>
      <c r="I398" s="1" t="s">
        <v>14</v>
      </c>
      <c r="J398">
        <v>1</v>
      </c>
      <c r="K398" s="1" t="s">
        <v>22</v>
      </c>
      <c r="L398" s="1" t="s">
        <v>30</v>
      </c>
      <c r="M398">
        <v>73</v>
      </c>
      <c r="N398" s="1" t="str" cm="1">
        <f t="array" ref="N398">_xlfn.IFS(M398&lt;40, " Adult", M398&lt;60, "Middle Age", M398&gt;=60, "Older Adult")</f>
        <v>Older Adult</v>
      </c>
      <c r="O398" s="1" t="s">
        <v>17</v>
      </c>
      <c r="P398" s="1" t="b">
        <f>IF(O398="Yes", 1)</f>
        <v>0</v>
      </c>
      <c r="Q398" s="1"/>
    </row>
    <row r="399" spans="1:17" x14ac:dyDescent="0.25">
      <c r="A399">
        <v>22050</v>
      </c>
      <c r="B399" s="1" t="s">
        <v>34</v>
      </c>
      <c r="C399" s="1" t="s">
        <v>32</v>
      </c>
      <c r="D399" s="2">
        <v>90000</v>
      </c>
      <c r="E399" s="2" t="str">
        <f>IF(bike_buyers[[#This Row],[Income]]&lt;40000,"Under 40K", IF(bike_buyers[[#This Row],[Income]]&lt;60000,"40K-59K", IF(bike_buyers[[#This Row],[Income]]&lt;80000,"60K-79K", IF(bike_buyers[[#This Row],[Income]]&lt;100000,"80K-99K","100K+"))))</f>
        <v>80K-99K</v>
      </c>
      <c r="F399">
        <v>4</v>
      </c>
      <c r="G399" s="1" t="s">
        <v>12</v>
      </c>
      <c r="H399" s="1" t="s">
        <v>27</v>
      </c>
      <c r="I399" s="1" t="s">
        <v>14</v>
      </c>
      <c r="J399">
        <v>1</v>
      </c>
      <c r="K399" s="1" t="s">
        <v>25</v>
      </c>
      <c r="L399" s="1" t="s">
        <v>30</v>
      </c>
      <c r="M399">
        <v>38</v>
      </c>
      <c r="N399" s="1" t="str" cm="1">
        <f t="array" ref="N399">_xlfn.IFS(M399&lt;40, " Adult", M399&lt;60, "Middle Age", M399&gt;=60, "Older Adult")</f>
        <v xml:space="preserve"> Adult</v>
      </c>
      <c r="O399" s="1" t="s">
        <v>14</v>
      </c>
      <c r="P399" s="1">
        <f>IF(O399="Yes", 1)</f>
        <v>1</v>
      </c>
      <c r="Q399" s="1"/>
    </row>
    <row r="400" spans="1:17" x14ac:dyDescent="0.25">
      <c r="A400">
        <v>13337</v>
      </c>
      <c r="B400" s="1" t="s">
        <v>31</v>
      </c>
      <c r="C400" s="1" t="s">
        <v>33</v>
      </c>
      <c r="D400" s="2">
        <v>80000</v>
      </c>
      <c r="E400" s="2" t="str">
        <f>IF(bike_buyers[[#This Row],[Income]]&lt;40000,"Under 40K", IF(bike_buyers[[#This Row],[Income]]&lt;60000,"40K-59K", IF(bike_buyers[[#This Row],[Income]]&lt;80000,"60K-79K", IF(bike_buyers[[#This Row],[Income]]&lt;100000,"80K-99K","100K+"))))</f>
        <v>80K-99K</v>
      </c>
      <c r="F400">
        <v>5</v>
      </c>
      <c r="G400" s="1" t="s">
        <v>12</v>
      </c>
      <c r="H400" s="1" t="s">
        <v>27</v>
      </c>
      <c r="I400" s="1" t="s">
        <v>14</v>
      </c>
      <c r="J400">
        <v>2</v>
      </c>
      <c r="K400" s="1" t="s">
        <v>22</v>
      </c>
      <c r="L400" s="1" t="s">
        <v>30</v>
      </c>
      <c r="M400">
        <v>64</v>
      </c>
      <c r="N400" s="1" t="str" cm="1">
        <f t="array" ref="N400">_xlfn.IFS(M400&lt;40, " Adult", M400&lt;60, "Middle Age", M400&gt;=60, "Older Adult")</f>
        <v>Older Adult</v>
      </c>
      <c r="O400" s="1" t="s">
        <v>17</v>
      </c>
      <c r="P400" s="1" t="b">
        <f>IF(O400="Yes", 1)</f>
        <v>0</v>
      </c>
      <c r="Q400" s="1"/>
    </row>
    <row r="401" spans="1:17" x14ac:dyDescent="0.25">
      <c r="A401">
        <v>21713</v>
      </c>
      <c r="B401" s="1" t="s">
        <v>34</v>
      </c>
      <c r="C401" s="1" t="s">
        <v>32</v>
      </c>
      <c r="D401" s="2">
        <v>80000</v>
      </c>
      <c r="E401" s="2" t="str">
        <f>IF(bike_buyers[[#This Row],[Income]]&lt;40000,"Under 40K", IF(bike_buyers[[#This Row],[Income]]&lt;60000,"40K-59K", IF(bike_buyers[[#This Row],[Income]]&lt;80000,"60K-79K", IF(bike_buyers[[#This Row],[Income]]&lt;100000,"80K-99K","100K+"))))</f>
        <v>80K-99K</v>
      </c>
      <c r="F401">
        <v>5</v>
      </c>
      <c r="G401" s="1" t="s">
        <v>29</v>
      </c>
      <c r="H401" s="1" t="s">
        <v>13</v>
      </c>
      <c r="I401" s="1" t="s">
        <v>17</v>
      </c>
      <c r="J401">
        <v>0</v>
      </c>
      <c r="K401" s="1" t="s">
        <v>15</v>
      </c>
      <c r="L401" s="1" t="s">
        <v>30</v>
      </c>
      <c r="M401">
        <v>47</v>
      </c>
      <c r="N401" s="1" t="str" cm="1">
        <f t="array" ref="N401">_xlfn.IFS(M401&lt;40, " Adult", M401&lt;60, "Middle Age", M401&gt;=60, "Older Adult")</f>
        <v>Middle Age</v>
      </c>
      <c r="O401" s="1" t="s">
        <v>17</v>
      </c>
      <c r="P401" s="1" t="b">
        <f>IF(O401="Yes", 1)</f>
        <v>0</v>
      </c>
      <c r="Q401" s="1"/>
    </row>
    <row r="402" spans="1:17" x14ac:dyDescent="0.25">
      <c r="A402">
        <v>11090</v>
      </c>
      <c r="B402" s="1" t="s">
        <v>34</v>
      </c>
      <c r="C402" s="1" t="s">
        <v>32</v>
      </c>
      <c r="D402" s="2">
        <v>90000</v>
      </c>
      <c r="E402" s="2" t="str">
        <f>IF(bike_buyers[[#This Row],[Income]]&lt;40000,"Under 40K", IF(bike_buyers[[#This Row],[Income]]&lt;60000,"40K-59K", IF(bike_buyers[[#This Row],[Income]]&lt;80000,"60K-79K", IF(bike_buyers[[#This Row],[Income]]&lt;100000,"80K-99K","100K+"))))</f>
        <v>80K-99K</v>
      </c>
      <c r="F402">
        <v>2</v>
      </c>
      <c r="G402" s="1" t="s">
        <v>18</v>
      </c>
      <c r="H402" s="1" t="s">
        <v>20</v>
      </c>
      <c r="I402" s="1" t="s">
        <v>14</v>
      </c>
      <c r="J402">
        <v>1</v>
      </c>
      <c r="K402" s="1" t="s">
        <v>21</v>
      </c>
      <c r="L402" s="1" t="s">
        <v>30</v>
      </c>
      <c r="M402">
        <v>48</v>
      </c>
      <c r="N402" s="1" t="str" cm="1">
        <f t="array" ref="N402">_xlfn.IFS(M402&lt;40, " Adult", M402&lt;60, "Middle Age", M402&gt;=60, "Older Adult")</f>
        <v>Middle Age</v>
      </c>
      <c r="O402" s="1" t="s">
        <v>14</v>
      </c>
      <c r="P402" s="1">
        <f>IF(O402="Yes", 1)</f>
        <v>1</v>
      </c>
      <c r="Q402" s="1"/>
    </row>
    <row r="403" spans="1:17" x14ac:dyDescent="0.25">
      <c r="A403">
        <v>23455</v>
      </c>
      <c r="B403" s="1" t="s">
        <v>34</v>
      </c>
      <c r="C403" s="1" t="s">
        <v>32</v>
      </c>
      <c r="D403" s="2">
        <v>80000</v>
      </c>
      <c r="E403" s="2" t="str">
        <f>IF(bike_buyers[[#This Row],[Income]]&lt;40000,"Under 40K", IF(bike_buyers[[#This Row],[Income]]&lt;60000,"40K-59K", IF(bike_buyers[[#This Row],[Income]]&lt;80000,"60K-79K", IF(bike_buyers[[#This Row],[Income]]&lt;100000,"80K-99K","100K+"))))</f>
        <v>80K-99K</v>
      </c>
      <c r="F403">
        <v>2</v>
      </c>
      <c r="G403" s="1" t="s">
        <v>28</v>
      </c>
      <c r="H403" s="1" t="s">
        <v>13</v>
      </c>
      <c r="I403" s="1" t="s">
        <v>17</v>
      </c>
      <c r="J403">
        <v>2</v>
      </c>
      <c r="K403" s="1" t="s">
        <v>25</v>
      </c>
      <c r="L403" s="1" t="s">
        <v>30</v>
      </c>
      <c r="M403">
        <v>50</v>
      </c>
      <c r="N403" s="1" t="str" cm="1">
        <f t="array" ref="N403">_xlfn.IFS(M403&lt;40, " Adult", M403&lt;60, "Middle Age", M403&gt;=60, "Older Adult")</f>
        <v>Middle Age</v>
      </c>
      <c r="O403" s="1" t="s">
        <v>17</v>
      </c>
      <c r="P403" s="1" t="b">
        <f>IF(O403="Yes", 1)</f>
        <v>0</v>
      </c>
      <c r="Q403" s="1"/>
    </row>
    <row r="404" spans="1:17" x14ac:dyDescent="0.25">
      <c r="A404">
        <v>13343</v>
      </c>
      <c r="B404" s="1" t="s">
        <v>31</v>
      </c>
      <c r="C404" s="1" t="s">
        <v>33</v>
      </c>
      <c r="D404" s="2">
        <v>90000</v>
      </c>
      <c r="E404" s="2" t="str">
        <f>IF(bike_buyers[[#This Row],[Income]]&lt;40000,"Under 40K", IF(bike_buyers[[#This Row],[Income]]&lt;60000,"40K-59K", IF(bike_buyers[[#This Row],[Income]]&lt;80000,"60K-79K", IF(bike_buyers[[#This Row],[Income]]&lt;100000,"80K-99K","100K+"))))</f>
        <v>80K-99K</v>
      </c>
      <c r="F404">
        <v>5</v>
      </c>
      <c r="G404" s="1" t="s">
        <v>12</v>
      </c>
      <c r="H404" s="1" t="s">
        <v>27</v>
      </c>
      <c r="I404" s="1" t="s">
        <v>14</v>
      </c>
      <c r="J404">
        <v>2</v>
      </c>
      <c r="K404" s="1" t="s">
        <v>25</v>
      </c>
      <c r="L404" s="1" t="s">
        <v>30</v>
      </c>
      <c r="M404">
        <v>63</v>
      </c>
      <c r="N404" s="1" t="str" cm="1">
        <f t="array" ref="N404">_xlfn.IFS(M404&lt;40, " Adult", M404&lt;60, "Middle Age", M404&gt;=60, "Older Adult")</f>
        <v>Older Adult</v>
      </c>
      <c r="O404" s="1" t="s">
        <v>14</v>
      </c>
      <c r="P404" s="1">
        <f>IF(O404="Yes", 1)</f>
        <v>1</v>
      </c>
      <c r="Q404" s="1"/>
    </row>
    <row r="405" spans="1:17" x14ac:dyDescent="0.25">
      <c r="A405">
        <v>11303</v>
      </c>
      <c r="B405" s="1" t="s">
        <v>34</v>
      </c>
      <c r="C405" s="1" t="s">
        <v>33</v>
      </c>
      <c r="D405" s="2">
        <v>90000</v>
      </c>
      <c r="E405" s="2" t="str">
        <f>IF(bike_buyers[[#This Row],[Income]]&lt;40000,"Under 40K", IF(bike_buyers[[#This Row],[Income]]&lt;60000,"40K-59K", IF(bike_buyers[[#This Row],[Income]]&lt;80000,"60K-79K", IF(bike_buyers[[#This Row],[Income]]&lt;100000,"80K-99K","100K+"))))</f>
        <v>80K-99K</v>
      </c>
      <c r="F405">
        <v>4</v>
      </c>
      <c r="G405" s="1" t="s">
        <v>26</v>
      </c>
      <c r="H405" s="1" t="s">
        <v>20</v>
      </c>
      <c r="I405" s="1" t="s">
        <v>17</v>
      </c>
      <c r="J405">
        <v>3</v>
      </c>
      <c r="K405" s="1" t="s">
        <v>25</v>
      </c>
      <c r="L405" s="1" t="s">
        <v>30</v>
      </c>
      <c r="M405">
        <v>45</v>
      </c>
      <c r="N405" s="1" t="str" cm="1">
        <f t="array" ref="N405">_xlfn.IFS(M405&lt;40, " Adult", M405&lt;60, "Middle Age", M405&gt;=60, "Older Adult")</f>
        <v>Middle Age</v>
      </c>
      <c r="O405" s="1" t="s">
        <v>14</v>
      </c>
      <c r="P405" s="1">
        <f>IF(O405="Yes", 1)</f>
        <v>1</v>
      </c>
      <c r="Q405" s="1"/>
    </row>
    <row r="406" spans="1:17" x14ac:dyDescent="0.25">
      <c r="A406">
        <v>21940</v>
      </c>
      <c r="B406" s="1" t="s">
        <v>31</v>
      </c>
      <c r="C406" s="1" t="s">
        <v>32</v>
      </c>
      <c r="D406" s="2">
        <v>90000</v>
      </c>
      <c r="E406" s="2" t="str">
        <f>IF(bike_buyers[[#This Row],[Income]]&lt;40000,"Under 40K", IF(bike_buyers[[#This Row],[Income]]&lt;60000,"40K-59K", IF(bike_buyers[[#This Row],[Income]]&lt;80000,"60K-79K", IF(bike_buyers[[#This Row],[Income]]&lt;100000,"80K-99K","100K+"))))</f>
        <v>80K-99K</v>
      </c>
      <c r="F406">
        <v>5</v>
      </c>
      <c r="G406" s="1" t="s">
        <v>29</v>
      </c>
      <c r="H406" s="1" t="s">
        <v>20</v>
      </c>
      <c r="I406" s="1" t="s">
        <v>14</v>
      </c>
      <c r="J406">
        <v>0</v>
      </c>
      <c r="K406" s="1" t="s">
        <v>15</v>
      </c>
      <c r="L406" s="1" t="s">
        <v>30</v>
      </c>
      <c r="M406">
        <v>47</v>
      </c>
      <c r="N406" s="1" t="str" cm="1">
        <f t="array" ref="N406">_xlfn.IFS(M406&lt;40, " Adult", M406&lt;60, "Middle Age", M406&gt;=60, "Older Adult")</f>
        <v>Middle Age</v>
      </c>
      <c r="O406" s="1" t="s">
        <v>14</v>
      </c>
      <c r="P406" s="1">
        <f>IF(O406="Yes", 1)</f>
        <v>1</v>
      </c>
      <c r="Q406" s="1"/>
    </row>
    <row r="407" spans="1:17" x14ac:dyDescent="0.25">
      <c r="A407">
        <v>16007</v>
      </c>
      <c r="B407" s="1" t="s">
        <v>31</v>
      </c>
      <c r="C407" s="1" t="s">
        <v>33</v>
      </c>
      <c r="D407" s="2">
        <v>90000</v>
      </c>
      <c r="E407" s="2" t="str">
        <f>IF(bike_buyers[[#This Row],[Income]]&lt;40000,"Under 40K", IF(bike_buyers[[#This Row],[Income]]&lt;60000,"40K-59K", IF(bike_buyers[[#This Row],[Income]]&lt;80000,"60K-79K", IF(bike_buyers[[#This Row],[Income]]&lt;100000,"80K-99K","100K+"))))</f>
        <v>80K-99K</v>
      </c>
      <c r="F407">
        <v>5</v>
      </c>
      <c r="G407" s="1" t="s">
        <v>12</v>
      </c>
      <c r="H407" s="1" t="s">
        <v>27</v>
      </c>
      <c r="I407" s="1" t="s">
        <v>14</v>
      </c>
      <c r="J407">
        <v>2</v>
      </c>
      <c r="K407" s="1" t="s">
        <v>25</v>
      </c>
      <c r="L407" s="1" t="s">
        <v>30</v>
      </c>
      <c r="M407">
        <v>66</v>
      </c>
      <c r="N407" s="1" t="str" cm="1">
        <f t="array" ref="N407">_xlfn.IFS(M407&lt;40, " Adult", M407&lt;60, "Middle Age", M407&gt;=60, "Older Adult")</f>
        <v>Older Adult</v>
      </c>
      <c r="O407" s="1" t="s">
        <v>14</v>
      </c>
      <c r="P407" s="1">
        <f>IF(O407="Yes", 1)</f>
        <v>1</v>
      </c>
      <c r="Q407" s="1"/>
    </row>
    <row r="408" spans="1:17" x14ac:dyDescent="0.25">
      <c r="A408">
        <v>19012</v>
      </c>
      <c r="B408" s="1" t="s">
        <v>31</v>
      </c>
      <c r="C408" s="1" t="s">
        <v>32</v>
      </c>
      <c r="D408" s="2">
        <v>80000</v>
      </c>
      <c r="E408" s="2" t="str">
        <f>IF(bike_buyers[[#This Row],[Income]]&lt;40000,"Under 40K", IF(bike_buyers[[#This Row],[Income]]&lt;60000,"40K-59K", IF(bike_buyers[[#This Row],[Income]]&lt;80000,"60K-79K", IF(bike_buyers[[#This Row],[Income]]&lt;100000,"80K-99K","100K+"))))</f>
        <v>80K-99K</v>
      </c>
      <c r="F408">
        <v>3</v>
      </c>
      <c r="G408" s="1" t="s">
        <v>12</v>
      </c>
      <c r="H408" s="1" t="s">
        <v>27</v>
      </c>
      <c r="I408" s="1" t="s">
        <v>14</v>
      </c>
      <c r="J408">
        <v>1</v>
      </c>
      <c r="K408" s="1" t="s">
        <v>25</v>
      </c>
      <c r="L408" s="1" t="s">
        <v>30</v>
      </c>
      <c r="M408">
        <v>56</v>
      </c>
      <c r="N408" s="1" t="str" cm="1">
        <f t="array" ref="N408">_xlfn.IFS(M408&lt;40, " Adult", M408&lt;60, "Middle Age", M408&gt;=60, "Older Adult")</f>
        <v>Middle Age</v>
      </c>
      <c r="O408" s="1" t="s">
        <v>17</v>
      </c>
      <c r="P408" s="1" t="b">
        <f>IF(O408="Yes", 1)</f>
        <v>0</v>
      </c>
      <c r="Q408" s="1"/>
    </row>
    <row r="409" spans="1:17" x14ac:dyDescent="0.25">
      <c r="A409">
        <v>19741</v>
      </c>
      <c r="B409" s="1" t="s">
        <v>34</v>
      </c>
      <c r="C409" s="1" t="s">
        <v>33</v>
      </c>
      <c r="D409" s="2">
        <v>80000</v>
      </c>
      <c r="E409" s="2" t="str">
        <f>IF(bike_buyers[[#This Row],[Income]]&lt;40000,"Under 40K", IF(bike_buyers[[#This Row],[Income]]&lt;60000,"40K-59K", IF(bike_buyers[[#This Row],[Income]]&lt;80000,"60K-79K", IF(bike_buyers[[#This Row],[Income]]&lt;100000,"80K-99K","100K+"))))</f>
        <v>80K-99K</v>
      </c>
      <c r="F409">
        <v>4</v>
      </c>
      <c r="G409" s="1" t="s">
        <v>29</v>
      </c>
      <c r="H409" s="1" t="s">
        <v>27</v>
      </c>
      <c r="I409" s="1" t="s">
        <v>14</v>
      </c>
      <c r="J409">
        <v>2</v>
      </c>
      <c r="K409" s="1" t="s">
        <v>22</v>
      </c>
      <c r="L409" s="1" t="s">
        <v>30</v>
      </c>
      <c r="M409">
        <v>65</v>
      </c>
      <c r="N409" s="1" t="str" cm="1">
        <f t="array" ref="N409">_xlfn.IFS(M409&lt;40, " Adult", M409&lt;60, "Middle Age", M409&gt;=60, "Older Adult")</f>
        <v>Older Adult</v>
      </c>
      <c r="O409" s="1" t="s">
        <v>17</v>
      </c>
      <c r="P409" s="1" t="b">
        <f>IF(O409="Yes", 1)</f>
        <v>0</v>
      </c>
      <c r="Q409" s="1"/>
    </row>
    <row r="410" spans="1:17" x14ac:dyDescent="0.25">
      <c r="A410">
        <v>17450</v>
      </c>
      <c r="B410" s="1" t="s">
        <v>31</v>
      </c>
      <c r="C410" s="1" t="s">
        <v>32</v>
      </c>
      <c r="D410" s="2">
        <v>80000</v>
      </c>
      <c r="E410" s="2" t="str">
        <f>IF(bike_buyers[[#This Row],[Income]]&lt;40000,"Under 40K", IF(bike_buyers[[#This Row],[Income]]&lt;60000,"40K-59K", IF(bike_buyers[[#This Row],[Income]]&lt;80000,"60K-79K", IF(bike_buyers[[#This Row],[Income]]&lt;100000,"80K-99K","100K+"))))</f>
        <v>80K-99K</v>
      </c>
      <c r="F410">
        <v>5</v>
      </c>
      <c r="G410" s="1" t="s">
        <v>18</v>
      </c>
      <c r="H410" s="1" t="s">
        <v>20</v>
      </c>
      <c r="I410" s="1" t="s">
        <v>14</v>
      </c>
      <c r="J410">
        <v>3</v>
      </c>
      <c r="K410" s="1" t="s">
        <v>22</v>
      </c>
      <c r="L410" s="1" t="s">
        <v>30</v>
      </c>
      <c r="M410">
        <v>45</v>
      </c>
      <c r="N410" s="1" t="str" cm="1">
        <f t="array" ref="N410">_xlfn.IFS(M410&lt;40, " Adult", M410&lt;60, "Middle Age", M410&gt;=60, "Older Adult")</f>
        <v>Middle Age</v>
      </c>
      <c r="O410" s="1" t="s">
        <v>17</v>
      </c>
      <c r="P410" s="1" t="b">
        <f>IF(O410="Yes", 1)</f>
        <v>0</v>
      </c>
      <c r="Q410" s="1"/>
    </row>
    <row r="411" spans="1:17" x14ac:dyDescent="0.25">
      <c r="A411">
        <v>18594</v>
      </c>
      <c r="B411" s="1" t="s">
        <v>34</v>
      </c>
      <c r="C411" s="1" t="s">
        <v>33</v>
      </c>
      <c r="D411" s="2">
        <v>80000</v>
      </c>
      <c r="E411" s="2" t="str">
        <f>IF(bike_buyers[[#This Row],[Income]]&lt;40000,"Under 40K", IF(bike_buyers[[#This Row],[Income]]&lt;60000,"40K-59K", IF(bike_buyers[[#This Row],[Income]]&lt;80000,"60K-79K", IF(bike_buyers[[#This Row],[Income]]&lt;100000,"80K-99K","100K+"))))</f>
        <v>80K-99K</v>
      </c>
      <c r="F411">
        <v>3</v>
      </c>
      <c r="G411" s="1" t="s">
        <v>12</v>
      </c>
      <c r="H411" s="1" t="s">
        <v>13</v>
      </c>
      <c r="I411" s="1" t="s">
        <v>14</v>
      </c>
      <c r="J411">
        <v>3</v>
      </c>
      <c r="K411" s="1" t="s">
        <v>62</v>
      </c>
      <c r="L411" s="1" t="s">
        <v>30</v>
      </c>
      <c r="M411">
        <v>40</v>
      </c>
      <c r="N411" s="1" t="str" cm="1">
        <f t="array" ref="N411">_xlfn.IFS(M411&lt;40, " Adult", M411&lt;60, "Middle Age", M411&gt;=60, "Older Adult")</f>
        <v>Middle Age</v>
      </c>
      <c r="O411" s="1" t="s">
        <v>14</v>
      </c>
      <c r="P411" s="1">
        <f>IF(O411="Yes", 1)</f>
        <v>1</v>
      </c>
      <c r="Q411" s="1"/>
    </row>
    <row r="412" spans="1:17" x14ac:dyDescent="0.25">
      <c r="A412">
        <v>22864</v>
      </c>
      <c r="B412" s="1" t="s">
        <v>31</v>
      </c>
      <c r="C412" s="1" t="s">
        <v>32</v>
      </c>
      <c r="D412" s="2">
        <v>90000</v>
      </c>
      <c r="E412" s="2" t="str">
        <f>IF(bike_buyers[[#This Row],[Income]]&lt;40000,"Under 40K", IF(bike_buyers[[#This Row],[Income]]&lt;60000,"40K-59K", IF(bike_buyers[[#This Row],[Income]]&lt;80000,"60K-79K", IF(bike_buyers[[#This Row],[Income]]&lt;100000,"80K-99K","100K+"))))</f>
        <v>80K-99K</v>
      </c>
      <c r="F412">
        <v>2</v>
      </c>
      <c r="G412" s="1" t="s">
        <v>18</v>
      </c>
      <c r="H412" s="1" t="s">
        <v>20</v>
      </c>
      <c r="I412" s="1" t="s">
        <v>17</v>
      </c>
      <c r="J412">
        <v>0</v>
      </c>
      <c r="K412" s="1" t="s">
        <v>22</v>
      </c>
      <c r="L412" s="1" t="s">
        <v>30</v>
      </c>
      <c r="M412">
        <v>49</v>
      </c>
      <c r="N412" s="1" t="str" cm="1">
        <f t="array" ref="N412">_xlfn.IFS(M412&lt;40, " Adult", M412&lt;60, "Middle Age", M412&gt;=60, "Older Adult")</f>
        <v>Middle Age</v>
      </c>
      <c r="O412" s="1" t="s">
        <v>14</v>
      </c>
      <c r="P412" s="1">
        <f>IF(O412="Yes", 1)</f>
        <v>1</v>
      </c>
      <c r="Q412" s="1"/>
    </row>
    <row r="413" spans="1:17" x14ac:dyDescent="0.25">
      <c r="A413">
        <v>13466</v>
      </c>
      <c r="B413" s="1" t="s">
        <v>31</v>
      </c>
      <c r="C413" s="1" t="s">
        <v>32</v>
      </c>
      <c r="D413" s="2">
        <v>80000</v>
      </c>
      <c r="E413" s="2" t="str">
        <f>IF(bike_buyers[[#This Row],[Income]]&lt;40000,"Under 40K", IF(bike_buyers[[#This Row],[Income]]&lt;60000,"40K-59K", IF(bike_buyers[[#This Row],[Income]]&lt;80000,"60K-79K", IF(bike_buyers[[#This Row],[Income]]&lt;100000,"80K-99K","100K+"))))</f>
        <v>80K-99K</v>
      </c>
      <c r="F413">
        <v>5</v>
      </c>
      <c r="G413" s="1" t="s">
        <v>18</v>
      </c>
      <c r="H413" s="1" t="s">
        <v>20</v>
      </c>
      <c r="I413" s="1" t="s">
        <v>14</v>
      </c>
      <c r="J413">
        <v>3</v>
      </c>
      <c r="K413" s="1" t="s">
        <v>25</v>
      </c>
      <c r="L413" s="1" t="s">
        <v>30</v>
      </c>
      <c r="M413">
        <v>46</v>
      </c>
      <c r="N413" s="1" t="str" cm="1">
        <f t="array" ref="N413">_xlfn.IFS(M413&lt;40, " Adult", M413&lt;60, "Middle Age", M413&gt;=60, "Older Adult")</f>
        <v>Middle Age</v>
      </c>
      <c r="O413" s="1" t="s">
        <v>17</v>
      </c>
      <c r="P413" s="1" t="b">
        <f>IF(O413="Yes", 1)</f>
        <v>0</v>
      </c>
      <c r="Q413" s="1"/>
    </row>
    <row r="414" spans="1:17" x14ac:dyDescent="0.25">
      <c r="A414">
        <v>24381</v>
      </c>
      <c r="B414" s="1" t="s">
        <v>34</v>
      </c>
      <c r="C414" s="1" t="s">
        <v>32</v>
      </c>
      <c r="D414" s="2">
        <v>70000</v>
      </c>
      <c r="E414" s="2" t="str">
        <f>IF(bike_buyers[[#This Row],[Income]]&lt;40000,"Under 40K", IF(bike_buyers[[#This Row],[Income]]&lt;60000,"40K-59K", IF(bike_buyers[[#This Row],[Income]]&lt;80000,"60K-79K", IF(bike_buyers[[#This Row],[Income]]&lt;100000,"80K-99K","100K+"))))</f>
        <v>60K-79K</v>
      </c>
      <c r="F414">
        <v>0</v>
      </c>
      <c r="G414" s="1" t="s">
        <v>12</v>
      </c>
      <c r="H414" s="1" t="s">
        <v>20</v>
      </c>
      <c r="I414" s="1" t="s">
        <v>14</v>
      </c>
      <c r="J414">
        <v>1</v>
      </c>
      <c r="K414" s="1" t="s">
        <v>22</v>
      </c>
      <c r="L414" s="1" t="s">
        <v>23</v>
      </c>
      <c r="M414">
        <v>41</v>
      </c>
      <c r="N414" s="1" t="str" cm="1">
        <f t="array" ref="N414">_xlfn.IFS(M414&lt;40, " Adult", M414&lt;60, "Middle Age", M414&gt;=60, "Older Adult")</f>
        <v>Middle Age</v>
      </c>
      <c r="O414" s="1" t="s">
        <v>14</v>
      </c>
      <c r="P414" s="1">
        <f>IF(O414="Yes", 1)</f>
        <v>1</v>
      </c>
      <c r="Q414" s="1"/>
    </row>
    <row r="415" spans="1:17" x14ac:dyDescent="0.25">
      <c r="A415">
        <v>23542</v>
      </c>
      <c r="B415" s="1" t="s">
        <v>34</v>
      </c>
      <c r="C415" s="1" t="s">
        <v>32</v>
      </c>
      <c r="D415" s="2">
        <v>60000</v>
      </c>
      <c r="E415" s="2" t="str">
        <f>IF(bike_buyers[[#This Row],[Income]]&lt;40000,"Under 40K", IF(bike_buyers[[#This Row],[Income]]&lt;60000,"40K-59K", IF(bike_buyers[[#This Row],[Income]]&lt;80000,"60K-79K", IF(bike_buyers[[#This Row],[Income]]&lt;100000,"80K-99K","100K+"))))</f>
        <v>60K-79K</v>
      </c>
      <c r="F415">
        <v>1</v>
      </c>
      <c r="G415" s="1" t="s">
        <v>18</v>
      </c>
      <c r="H415" s="1" t="s">
        <v>13</v>
      </c>
      <c r="I415" s="1" t="s">
        <v>17</v>
      </c>
      <c r="J415">
        <v>1</v>
      </c>
      <c r="K415" s="1" t="s">
        <v>15</v>
      </c>
      <c r="L415" s="1" t="s">
        <v>23</v>
      </c>
      <c r="M415">
        <v>45</v>
      </c>
      <c r="N415" s="1" t="str" cm="1">
        <f t="array" ref="N415">_xlfn.IFS(M415&lt;40, " Adult", M415&lt;60, "Middle Age", M415&gt;=60, "Older Adult")</f>
        <v>Middle Age</v>
      </c>
      <c r="O415" s="1" t="s">
        <v>14</v>
      </c>
      <c r="P415" s="1">
        <f>IF(O415="Yes", 1)</f>
        <v>1</v>
      </c>
      <c r="Q415" s="1"/>
    </row>
    <row r="416" spans="1:17" x14ac:dyDescent="0.25">
      <c r="A416">
        <v>18299</v>
      </c>
      <c r="B416" s="1" t="s">
        <v>31</v>
      </c>
      <c r="C416" s="1" t="s">
        <v>32</v>
      </c>
      <c r="D416" s="2">
        <v>70000</v>
      </c>
      <c r="E416" s="2" t="str">
        <f>IF(bike_buyers[[#This Row],[Income]]&lt;40000,"Under 40K", IF(bike_buyers[[#This Row],[Income]]&lt;60000,"40K-59K", IF(bike_buyers[[#This Row],[Income]]&lt;80000,"60K-79K", IF(bike_buyers[[#This Row],[Income]]&lt;100000,"80K-99K","100K+"))))</f>
        <v>60K-79K</v>
      </c>
      <c r="F416">
        <v>5</v>
      </c>
      <c r="G416" s="1" t="s">
        <v>18</v>
      </c>
      <c r="H416" s="1" t="s">
        <v>13</v>
      </c>
      <c r="I416" s="1" t="s">
        <v>14</v>
      </c>
      <c r="J416">
        <v>2</v>
      </c>
      <c r="K416" s="1" t="s">
        <v>22</v>
      </c>
      <c r="L416" s="1" t="s">
        <v>23</v>
      </c>
      <c r="M416">
        <v>44</v>
      </c>
      <c r="N416" s="1" t="str" cm="1">
        <f t="array" ref="N416">_xlfn.IFS(M416&lt;40, " Adult", M416&lt;60, "Middle Age", M416&gt;=60, "Older Adult")</f>
        <v>Middle Age</v>
      </c>
      <c r="O416" s="1" t="s">
        <v>17</v>
      </c>
      <c r="P416" s="1" t="b">
        <f>IF(O416="Yes", 1)</f>
        <v>0</v>
      </c>
      <c r="Q416" s="1"/>
    </row>
    <row r="417" spans="1:17" x14ac:dyDescent="0.25">
      <c r="A417">
        <v>24466</v>
      </c>
      <c r="B417" s="1" t="s">
        <v>31</v>
      </c>
      <c r="C417" s="1" t="s">
        <v>33</v>
      </c>
      <c r="D417" s="2">
        <v>60000</v>
      </c>
      <c r="E417" s="2" t="str">
        <f>IF(bike_buyers[[#This Row],[Income]]&lt;40000,"Under 40K", IF(bike_buyers[[#This Row],[Income]]&lt;60000,"40K-59K", IF(bike_buyers[[#This Row],[Income]]&lt;80000,"60K-79K", IF(bike_buyers[[#This Row],[Income]]&lt;100000,"80K-99K","100K+"))))</f>
        <v>60K-79K</v>
      </c>
      <c r="F417">
        <v>1</v>
      </c>
      <c r="G417" s="1" t="s">
        <v>18</v>
      </c>
      <c r="H417" s="1" t="s">
        <v>13</v>
      </c>
      <c r="I417" s="1" t="s">
        <v>14</v>
      </c>
      <c r="J417">
        <v>1</v>
      </c>
      <c r="K417" s="1" t="s">
        <v>22</v>
      </c>
      <c r="L417" s="1" t="s">
        <v>23</v>
      </c>
      <c r="M417">
        <v>46</v>
      </c>
      <c r="N417" s="1" t="str" cm="1">
        <f t="array" ref="N417">_xlfn.IFS(M417&lt;40, " Adult", M417&lt;60, "Middle Age", M417&gt;=60, "Older Adult")</f>
        <v>Middle Age</v>
      </c>
      <c r="O417" s="1" t="s">
        <v>14</v>
      </c>
      <c r="P417" s="1">
        <f>IF(O417="Yes", 1)</f>
        <v>1</v>
      </c>
      <c r="Q417" s="1"/>
    </row>
    <row r="418" spans="1:17" x14ac:dyDescent="0.25">
      <c r="A418">
        <v>17319</v>
      </c>
      <c r="B418" s="1" t="s">
        <v>34</v>
      </c>
      <c r="C418" s="1" t="s">
        <v>33</v>
      </c>
      <c r="D418" s="2">
        <v>70000</v>
      </c>
      <c r="E418" s="2" t="str">
        <f>IF(bike_buyers[[#This Row],[Income]]&lt;40000,"Under 40K", IF(bike_buyers[[#This Row],[Income]]&lt;60000,"40K-59K", IF(bike_buyers[[#This Row],[Income]]&lt;80000,"60K-79K", IF(bike_buyers[[#This Row],[Income]]&lt;100000,"80K-99K","100K+"))))</f>
        <v>60K-79K</v>
      </c>
      <c r="F418">
        <v>0</v>
      </c>
      <c r="G418" s="1" t="s">
        <v>12</v>
      </c>
      <c r="H418" s="1" t="s">
        <v>20</v>
      </c>
      <c r="I418" s="1" t="s">
        <v>17</v>
      </c>
      <c r="J418">
        <v>1</v>
      </c>
      <c r="K418" s="1" t="s">
        <v>22</v>
      </c>
      <c r="L418" s="1" t="s">
        <v>23</v>
      </c>
      <c r="M418">
        <v>42</v>
      </c>
      <c r="N418" s="1" t="str" cm="1">
        <f t="array" ref="N418">_xlfn.IFS(M418&lt;40, " Adult", M418&lt;60, "Middle Age", M418&gt;=60, "Older Adult")</f>
        <v>Middle Age</v>
      </c>
      <c r="O418" s="1" t="s">
        <v>17</v>
      </c>
      <c r="P418" s="1" t="b">
        <f>IF(O418="Yes", 1)</f>
        <v>0</v>
      </c>
      <c r="Q418" s="1"/>
    </row>
    <row r="419" spans="1:17" x14ac:dyDescent="0.25">
      <c r="A419">
        <v>15580</v>
      </c>
      <c r="B419" s="1" t="s">
        <v>31</v>
      </c>
      <c r="C419" s="1" t="s">
        <v>32</v>
      </c>
      <c r="D419" s="2">
        <v>60000</v>
      </c>
      <c r="E419" s="2" t="str">
        <f>IF(bike_buyers[[#This Row],[Income]]&lt;40000,"Under 40K", IF(bike_buyers[[#This Row],[Income]]&lt;60000,"40K-59K", IF(bike_buyers[[#This Row],[Income]]&lt;80000,"60K-79K", IF(bike_buyers[[#This Row],[Income]]&lt;100000,"80K-99K","100K+"))))</f>
        <v>60K-79K</v>
      </c>
      <c r="F419">
        <v>2</v>
      </c>
      <c r="G419" s="1" t="s">
        <v>12</v>
      </c>
      <c r="H419" s="1" t="s">
        <v>20</v>
      </c>
      <c r="I419" s="1" t="s">
        <v>14</v>
      </c>
      <c r="J419">
        <v>1</v>
      </c>
      <c r="K419" s="1" t="s">
        <v>21</v>
      </c>
      <c r="L419" s="1" t="s">
        <v>23</v>
      </c>
      <c r="M419">
        <v>38</v>
      </c>
      <c r="N419" s="1" t="str" cm="1">
        <f t="array" ref="N419">_xlfn.IFS(M419&lt;40, " Adult", M419&lt;60, "Middle Age", M419&gt;=60, "Older Adult")</f>
        <v xml:space="preserve"> Adult</v>
      </c>
      <c r="O419" s="1" t="s">
        <v>14</v>
      </c>
      <c r="P419" s="1">
        <f>IF(O419="Yes", 1)</f>
        <v>1</v>
      </c>
      <c r="Q419" s="1"/>
    </row>
    <row r="420" spans="1:17" x14ac:dyDescent="0.25">
      <c r="A420">
        <v>16185</v>
      </c>
      <c r="B420" s="1" t="s">
        <v>34</v>
      </c>
      <c r="C420" s="1" t="s">
        <v>32</v>
      </c>
      <c r="D420" s="2">
        <v>60000</v>
      </c>
      <c r="E420" s="2" t="str">
        <f>IF(bike_buyers[[#This Row],[Income]]&lt;40000,"Under 40K", IF(bike_buyers[[#This Row],[Income]]&lt;60000,"40K-59K", IF(bike_buyers[[#This Row],[Income]]&lt;80000,"60K-79K", IF(bike_buyers[[#This Row],[Income]]&lt;100000,"80K-99K","100K+"))))</f>
        <v>60K-79K</v>
      </c>
      <c r="F420">
        <v>4</v>
      </c>
      <c r="G420" s="1" t="s">
        <v>12</v>
      </c>
      <c r="H420" s="1" t="s">
        <v>20</v>
      </c>
      <c r="I420" s="1" t="s">
        <v>14</v>
      </c>
      <c r="J420">
        <v>3</v>
      </c>
      <c r="K420" s="1" t="s">
        <v>62</v>
      </c>
      <c r="L420" s="1" t="s">
        <v>23</v>
      </c>
      <c r="M420">
        <v>41</v>
      </c>
      <c r="N420" s="1" t="str" cm="1">
        <f t="array" ref="N420">_xlfn.IFS(M420&lt;40, " Adult", M420&lt;60, "Middle Age", M420&gt;=60, "Older Adult")</f>
        <v>Middle Age</v>
      </c>
      <c r="O420" s="1" t="s">
        <v>17</v>
      </c>
      <c r="P420" s="1" t="b">
        <f>IF(O420="Yes", 1)</f>
        <v>0</v>
      </c>
      <c r="Q420" s="1"/>
    </row>
    <row r="421" spans="1:17" x14ac:dyDescent="0.25">
      <c r="A421">
        <v>19562</v>
      </c>
      <c r="B421" s="1" t="s">
        <v>34</v>
      </c>
      <c r="C421" s="1" t="s">
        <v>33</v>
      </c>
      <c r="D421" s="2">
        <v>60000</v>
      </c>
      <c r="E421" s="2" t="str">
        <f>IF(bike_buyers[[#This Row],[Income]]&lt;40000,"Under 40K", IF(bike_buyers[[#This Row],[Income]]&lt;60000,"40K-59K", IF(bike_buyers[[#This Row],[Income]]&lt;80000,"60K-79K", IF(bike_buyers[[#This Row],[Income]]&lt;100000,"80K-99K","100K+"))))</f>
        <v>60K-79K</v>
      </c>
      <c r="F421">
        <v>2</v>
      </c>
      <c r="G421" s="1" t="s">
        <v>12</v>
      </c>
      <c r="H421" s="1" t="s">
        <v>20</v>
      </c>
      <c r="I421" s="1" t="s">
        <v>14</v>
      </c>
      <c r="J421">
        <v>1</v>
      </c>
      <c r="K421" s="1" t="s">
        <v>21</v>
      </c>
      <c r="L421" s="1" t="s">
        <v>23</v>
      </c>
      <c r="M421">
        <v>37</v>
      </c>
      <c r="N421" s="1" t="str" cm="1">
        <f t="array" ref="N421">_xlfn.IFS(M421&lt;40, " Adult", M421&lt;60, "Middle Age", M421&gt;=60, "Older Adult")</f>
        <v xml:space="preserve"> Adult</v>
      </c>
      <c r="O421" s="1" t="s">
        <v>14</v>
      </c>
      <c r="P421" s="1">
        <f>IF(O421="Yes", 1)</f>
        <v>1</v>
      </c>
      <c r="Q421" s="1"/>
    </row>
    <row r="422" spans="1:17" x14ac:dyDescent="0.25">
      <c r="A422">
        <v>20236</v>
      </c>
      <c r="B422" s="1" t="s">
        <v>34</v>
      </c>
      <c r="C422" s="1" t="s">
        <v>32</v>
      </c>
      <c r="D422" s="2">
        <v>60000</v>
      </c>
      <c r="E422" s="2" t="str">
        <f>IF(bike_buyers[[#This Row],[Income]]&lt;40000,"Under 40K", IF(bike_buyers[[#This Row],[Income]]&lt;60000,"40K-59K", IF(bike_buyers[[#This Row],[Income]]&lt;80000,"60K-79K", IF(bike_buyers[[#This Row],[Income]]&lt;100000,"80K-99K","100K+"))))</f>
        <v>60K-79K</v>
      </c>
      <c r="F422">
        <v>3</v>
      </c>
      <c r="G422" s="1" t="s">
        <v>12</v>
      </c>
      <c r="H422" s="1" t="s">
        <v>20</v>
      </c>
      <c r="I422" s="1" t="s">
        <v>17</v>
      </c>
      <c r="J422">
        <v>2</v>
      </c>
      <c r="K422" s="1" t="s">
        <v>15</v>
      </c>
      <c r="L422" s="1" t="s">
        <v>23</v>
      </c>
      <c r="M422">
        <v>43</v>
      </c>
      <c r="N422" s="1" t="str" cm="1">
        <f t="array" ref="N422">_xlfn.IFS(M422&lt;40, " Adult", M422&lt;60, "Middle Age", M422&gt;=60, "Older Adult")</f>
        <v>Middle Age</v>
      </c>
      <c r="O422" s="1" t="s">
        <v>14</v>
      </c>
      <c r="P422" s="1">
        <f>IF(O422="Yes", 1)</f>
        <v>1</v>
      </c>
      <c r="Q422" s="1"/>
    </row>
    <row r="423" spans="1:17" x14ac:dyDescent="0.25">
      <c r="A423">
        <v>26139</v>
      </c>
      <c r="B423" s="1" t="s">
        <v>34</v>
      </c>
      <c r="C423" s="1" t="s">
        <v>32</v>
      </c>
      <c r="D423" s="2">
        <v>60000</v>
      </c>
      <c r="E423" s="2" t="str">
        <f>IF(bike_buyers[[#This Row],[Income]]&lt;40000,"Under 40K", IF(bike_buyers[[#This Row],[Income]]&lt;60000,"40K-59K", IF(bike_buyers[[#This Row],[Income]]&lt;80000,"60K-79K", IF(bike_buyers[[#This Row],[Income]]&lt;100000,"80K-99K","100K+"))))</f>
        <v>60K-79K</v>
      </c>
      <c r="F423">
        <v>1</v>
      </c>
      <c r="G423" s="1" t="s">
        <v>18</v>
      </c>
      <c r="H423" s="1" t="s">
        <v>13</v>
      </c>
      <c r="I423" s="1" t="s">
        <v>14</v>
      </c>
      <c r="J423">
        <v>1</v>
      </c>
      <c r="K423" s="1" t="s">
        <v>22</v>
      </c>
      <c r="L423" s="1" t="s">
        <v>23</v>
      </c>
      <c r="M423">
        <v>45</v>
      </c>
      <c r="N423" s="1" t="str" cm="1">
        <f t="array" ref="N423">_xlfn.IFS(M423&lt;40, " Adult", M423&lt;60, "Middle Age", M423&gt;=60, "Older Adult")</f>
        <v>Middle Age</v>
      </c>
      <c r="O423" s="1" t="s">
        <v>17</v>
      </c>
      <c r="P423" s="1" t="b">
        <f>IF(O423="Yes", 1)</f>
        <v>0</v>
      </c>
      <c r="Q423" s="1"/>
    </row>
    <row r="424" spans="1:17" x14ac:dyDescent="0.25">
      <c r="A424">
        <v>18491</v>
      </c>
      <c r="B424" s="1" t="s">
        <v>34</v>
      </c>
      <c r="C424" s="1" t="s">
        <v>33</v>
      </c>
      <c r="D424" s="2">
        <v>70000</v>
      </c>
      <c r="E424" s="2" t="str">
        <f>IF(bike_buyers[[#This Row],[Income]]&lt;40000,"Under 40K", IF(bike_buyers[[#This Row],[Income]]&lt;60000,"40K-59K", IF(bike_buyers[[#This Row],[Income]]&lt;80000,"60K-79K", IF(bike_buyers[[#This Row],[Income]]&lt;100000,"80K-99K","100K+"))))</f>
        <v>60K-79K</v>
      </c>
      <c r="F424">
        <v>2</v>
      </c>
      <c r="G424" s="1" t="s">
        <v>26</v>
      </c>
      <c r="H424" s="1" t="s">
        <v>20</v>
      </c>
      <c r="I424" s="1" t="s">
        <v>14</v>
      </c>
      <c r="J424">
        <v>2</v>
      </c>
      <c r="K424" s="1" t="s">
        <v>22</v>
      </c>
      <c r="L424" s="1" t="s">
        <v>23</v>
      </c>
      <c r="M424">
        <v>49</v>
      </c>
      <c r="N424" s="1" t="str" cm="1">
        <f t="array" ref="N424">_xlfn.IFS(M424&lt;40, " Adult", M424&lt;60, "Middle Age", M424&gt;=60, "Older Adult")</f>
        <v>Middle Age</v>
      </c>
      <c r="O424" s="1" t="s">
        <v>14</v>
      </c>
      <c r="P424" s="1">
        <f>IF(O424="Yes", 1)</f>
        <v>1</v>
      </c>
      <c r="Q424" s="1"/>
    </row>
    <row r="425" spans="1:17" x14ac:dyDescent="0.25">
      <c r="A425">
        <v>20430</v>
      </c>
      <c r="B425" s="1" t="s">
        <v>31</v>
      </c>
      <c r="C425" s="1" t="s">
        <v>32</v>
      </c>
      <c r="D425" s="2">
        <v>70000</v>
      </c>
      <c r="E425" s="2" t="str">
        <f>IF(bike_buyers[[#This Row],[Income]]&lt;40000,"Under 40K", IF(bike_buyers[[#This Row],[Income]]&lt;60000,"40K-59K", IF(bike_buyers[[#This Row],[Income]]&lt;80000,"60K-79K", IF(bike_buyers[[#This Row],[Income]]&lt;100000,"80K-99K","100K+"))))</f>
        <v>60K-79K</v>
      </c>
      <c r="F425">
        <v>2</v>
      </c>
      <c r="G425" s="1" t="s">
        <v>18</v>
      </c>
      <c r="H425" s="1" t="s">
        <v>13</v>
      </c>
      <c r="I425" s="1" t="s">
        <v>14</v>
      </c>
      <c r="J425">
        <v>2</v>
      </c>
      <c r="K425" s="1" t="s">
        <v>22</v>
      </c>
      <c r="L425" s="1" t="s">
        <v>23</v>
      </c>
      <c r="M425">
        <v>52</v>
      </c>
      <c r="N425" s="1" t="str" cm="1">
        <f t="array" ref="N425">_xlfn.IFS(M425&lt;40, " Adult", M425&lt;60, "Middle Age", M425&gt;=60, "Older Adult")</f>
        <v>Middle Age</v>
      </c>
      <c r="O425" s="1" t="s">
        <v>14</v>
      </c>
      <c r="P425" s="1">
        <f>IF(O425="Yes", 1)</f>
        <v>1</v>
      </c>
      <c r="Q425" s="1"/>
    </row>
    <row r="426" spans="1:17" x14ac:dyDescent="0.25">
      <c r="A426">
        <v>14682</v>
      </c>
      <c r="B426" s="1" t="s">
        <v>34</v>
      </c>
      <c r="C426" s="1" t="s">
        <v>33</v>
      </c>
      <c r="D426" s="2">
        <v>70000</v>
      </c>
      <c r="E426" s="2" t="str">
        <f>IF(bike_buyers[[#This Row],[Income]]&lt;40000,"Under 40K", IF(bike_buyers[[#This Row],[Income]]&lt;60000,"40K-59K", IF(bike_buyers[[#This Row],[Income]]&lt;80000,"60K-79K", IF(bike_buyers[[#This Row],[Income]]&lt;100000,"80K-99K","100K+"))))</f>
        <v>60K-79K</v>
      </c>
      <c r="F426">
        <v>0</v>
      </c>
      <c r="G426" s="1" t="s">
        <v>12</v>
      </c>
      <c r="H426" s="1" t="s">
        <v>20</v>
      </c>
      <c r="I426" s="1" t="s">
        <v>17</v>
      </c>
      <c r="J426">
        <v>1</v>
      </c>
      <c r="K426" s="1" t="s">
        <v>22</v>
      </c>
      <c r="L426" s="1" t="s">
        <v>23</v>
      </c>
      <c r="M426">
        <v>38</v>
      </c>
      <c r="N426" s="1" t="str" cm="1">
        <f t="array" ref="N426">_xlfn.IFS(M426&lt;40, " Adult", M426&lt;60, "Middle Age", M426&gt;=60, "Older Adult")</f>
        <v xml:space="preserve"> Adult</v>
      </c>
      <c r="O426" s="1" t="s">
        <v>17</v>
      </c>
      <c r="P426" s="1" t="b">
        <f>IF(O426="Yes", 1)</f>
        <v>0</v>
      </c>
      <c r="Q426" s="1"/>
    </row>
    <row r="427" spans="1:17" x14ac:dyDescent="0.25">
      <c r="A427">
        <v>12993</v>
      </c>
      <c r="B427" s="1" t="s">
        <v>31</v>
      </c>
      <c r="C427" s="1" t="s">
        <v>32</v>
      </c>
      <c r="D427" s="2">
        <v>60000</v>
      </c>
      <c r="E427" s="2" t="str">
        <f>IF(bike_buyers[[#This Row],[Income]]&lt;40000,"Under 40K", IF(bike_buyers[[#This Row],[Income]]&lt;60000,"40K-59K", IF(bike_buyers[[#This Row],[Income]]&lt;80000,"60K-79K", IF(bike_buyers[[#This Row],[Income]]&lt;100000,"80K-99K","100K+"))))</f>
        <v>60K-79K</v>
      </c>
      <c r="F427">
        <v>2</v>
      </c>
      <c r="G427" s="1" t="s">
        <v>12</v>
      </c>
      <c r="H427" s="1" t="s">
        <v>20</v>
      </c>
      <c r="I427" s="1" t="s">
        <v>14</v>
      </c>
      <c r="J427">
        <v>1</v>
      </c>
      <c r="K427" s="1" t="s">
        <v>21</v>
      </c>
      <c r="L427" s="1" t="s">
        <v>23</v>
      </c>
      <c r="M427">
        <v>37</v>
      </c>
      <c r="N427" s="1" t="str" cm="1">
        <f t="array" ref="N427">_xlfn.IFS(M427&lt;40, " Adult", M427&lt;60, "Middle Age", M427&gt;=60, "Older Adult")</f>
        <v xml:space="preserve"> Adult</v>
      </c>
      <c r="O427" s="1" t="s">
        <v>17</v>
      </c>
      <c r="P427" s="1" t="b">
        <f>IF(O427="Yes", 1)</f>
        <v>0</v>
      </c>
      <c r="Q427" s="1"/>
    </row>
    <row r="428" spans="1:17" x14ac:dyDescent="0.25">
      <c r="A428">
        <v>26154</v>
      </c>
      <c r="B428" s="1" t="s">
        <v>31</v>
      </c>
      <c r="C428" s="1" t="s">
        <v>32</v>
      </c>
      <c r="D428" s="2">
        <v>60000</v>
      </c>
      <c r="E428" s="2" t="str">
        <f>IF(bike_buyers[[#This Row],[Income]]&lt;40000,"Under 40K", IF(bike_buyers[[#This Row],[Income]]&lt;60000,"40K-59K", IF(bike_buyers[[#This Row],[Income]]&lt;80000,"60K-79K", IF(bike_buyers[[#This Row],[Income]]&lt;100000,"80K-99K","100K+"))))</f>
        <v>60K-79K</v>
      </c>
      <c r="F428">
        <v>1</v>
      </c>
      <c r="G428" s="1" t="s">
        <v>18</v>
      </c>
      <c r="H428" s="1" t="s">
        <v>13</v>
      </c>
      <c r="I428" s="1" t="s">
        <v>14</v>
      </c>
      <c r="J428">
        <v>1</v>
      </c>
      <c r="K428" s="1" t="s">
        <v>22</v>
      </c>
      <c r="L428" s="1" t="s">
        <v>23</v>
      </c>
      <c r="M428">
        <v>43</v>
      </c>
      <c r="N428" s="1" t="str" cm="1">
        <f t="array" ref="N428">_xlfn.IFS(M428&lt;40, " Adult", M428&lt;60, "Middle Age", M428&gt;=60, "Older Adult")</f>
        <v>Middle Age</v>
      </c>
      <c r="O428" s="1" t="s">
        <v>14</v>
      </c>
      <c r="P428" s="1">
        <f>IF(O428="Yes", 1)</f>
        <v>1</v>
      </c>
      <c r="Q428" s="1"/>
    </row>
    <row r="429" spans="1:17" x14ac:dyDescent="0.25">
      <c r="A429">
        <v>21980</v>
      </c>
      <c r="B429" s="1" t="s">
        <v>34</v>
      </c>
      <c r="C429" s="1" t="s">
        <v>33</v>
      </c>
      <c r="D429" s="2">
        <v>60000</v>
      </c>
      <c r="E429" s="2" t="str">
        <f>IF(bike_buyers[[#This Row],[Income]]&lt;40000,"Under 40K", IF(bike_buyers[[#This Row],[Income]]&lt;60000,"40K-59K", IF(bike_buyers[[#This Row],[Income]]&lt;80000,"60K-79K", IF(bike_buyers[[#This Row],[Income]]&lt;100000,"80K-99K","100K+"))))</f>
        <v>60K-79K</v>
      </c>
      <c r="F429">
        <v>1</v>
      </c>
      <c r="G429" s="1" t="s">
        <v>12</v>
      </c>
      <c r="H429" s="1" t="s">
        <v>20</v>
      </c>
      <c r="I429" s="1" t="s">
        <v>14</v>
      </c>
      <c r="J429">
        <v>1</v>
      </c>
      <c r="K429" s="1" t="s">
        <v>22</v>
      </c>
      <c r="L429" s="1" t="s">
        <v>23</v>
      </c>
      <c r="M429">
        <v>44</v>
      </c>
      <c r="N429" s="1" t="str" cm="1">
        <f t="array" ref="N429">_xlfn.IFS(M429&lt;40, " Adult", M429&lt;60, "Middle Age", M429&gt;=60, "Older Adult")</f>
        <v>Middle Age</v>
      </c>
      <c r="O429" s="1" t="s">
        <v>14</v>
      </c>
      <c r="P429" s="1">
        <f>IF(O429="Yes", 1)</f>
        <v>1</v>
      </c>
      <c r="Q429" s="1"/>
    </row>
    <row r="430" spans="1:17" x14ac:dyDescent="0.25">
      <c r="A430">
        <v>29181</v>
      </c>
      <c r="B430" s="1" t="s">
        <v>34</v>
      </c>
      <c r="C430" s="1" t="s">
        <v>33</v>
      </c>
      <c r="D430" s="2">
        <v>60000</v>
      </c>
      <c r="E430" s="2" t="str">
        <f>IF(bike_buyers[[#This Row],[Income]]&lt;40000,"Under 40K", IF(bike_buyers[[#This Row],[Income]]&lt;60000,"40K-59K", IF(bike_buyers[[#This Row],[Income]]&lt;80000,"60K-79K", IF(bike_buyers[[#This Row],[Income]]&lt;100000,"80K-99K","100K+"))))</f>
        <v>60K-79K</v>
      </c>
      <c r="F430">
        <v>2</v>
      </c>
      <c r="G430" s="1" t="s">
        <v>12</v>
      </c>
      <c r="H430" s="1" t="s">
        <v>20</v>
      </c>
      <c r="I430" s="1" t="s">
        <v>17</v>
      </c>
      <c r="J430">
        <v>1</v>
      </c>
      <c r="K430" s="1" t="s">
        <v>15</v>
      </c>
      <c r="L430" s="1" t="s">
        <v>23</v>
      </c>
      <c r="M430">
        <v>38</v>
      </c>
      <c r="N430" s="1" t="str" cm="1">
        <f t="array" ref="N430">_xlfn.IFS(M430&lt;40, " Adult", M430&lt;60, "Middle Age", M430&gt;=60, "Older Adult")</f>
        <v xml:space="preserve"> Adult</v>
      </c>
      <c r="O430" s="1" t="s">
        <v>14</v>
      </c>
      <c r="P430" s="1">
        <f>IF(O430="Yes", 1)</f>
        <v>1</v>
      </c>
      <c r="Q430" s="1"/>
    </row>
    <row r="431" spans="1:17" x14ac:dyDescent="0.25">
      <c r="A431">
        <v>14058</v>
      </c>
      <c r="B431" s="1" t="s">
        <v>34</v>
      </c>
      <c r="C431" s="1" t="s">
        <v>32</v>
      </c>
      <c r="D431" s="2">
        <v>70000</v>
      </c>
      <c r="E431" s="2" t="str">
        <f>IF(bike_buyers[[#This Row],[Income]]&lt;40000,"Under 40K", IF(bike_buyers[[#This Row],[Income]]&lt;60000,"40K-59K", IF(bike_buyers[[#This Row],[Income]]&lt;80000,"60K-79K", IF(bike_buyers[[#This Row],[Income]]&lt;100000,"80K-99K","100K+"))))</f>
        <v>60K-79K</v>
      </c>
      <c r="F431">
        <v>0</v>
      </c>
      <c r="G431" s="1" t="s">
        <v>12</v>
      </c>
      <c r="H431" s="1" t="s">
        <v>20</v>
      </c>
      <c r="I431" s="1" t="s">
        <v>17</v>
      </c>
      <c r="J431">
        <v>1</v>
      </c>
      <c r="K431" s="1" t="s">
        <v>22</v>
      </c>
      <c r="L431" s="1" t="s">
        <v>23</v>
      </c>
      <c r="M431">
        <v>41</v>
      </c>
      <c r="N431" s="1" t="str" cm="1">
        <f t="array" ref="N431">_xlfn.IFS(M431&lt;40, " Adult", M431&lt;60, "Middle Age", M431&gt;=60, "Older Adult")</f>
        <v>Middle Age</v>
      </c>
      <c r="O431" s="1" t="s">
        <v>14</v>
      </c>
      <c r="P431" s="1">
        <f>IF(O431="Yes", 1)</f>
        <v>1</v>
      </c>
      <c r="Q431" s="1"/>
    </row>
    <row r="432" spans="1:17" x14ac:dyDescent="0.25">
      <c r="A432">
        <v>20606</v>
      </c>
      <c r="B432" s="1" t="s">
        <v>31</v>
      </c>
      <c r="C432" s="1" t="s">
        <v>33</v>
      </c>
      <c r="D432" s="2">
        <v>70000</v>
      </c>
      <c r="E432" s="2" t="str">
        <f>IF(bike_buyers[[#This Row],[Income]]&lt;40000,"Under 40K", IF(bike_buyers[[#This Row],[Income]]&lt;60000,"40K-59K", IF(bike_buyers[[#This Row],[Income]]&lt;80000,"60K-79K", IF(bike_buyers[[#This Row],[Income]]&lt;100000,"80K-99K","100K+"))))</f>
        <v>60K-79K</v>
      </c>
      <c r="F432">
        <v>0</v>
      </c>
      <c r="G432" s="1" t="s">
        <v>12</v>
      </c>
      <c r="H432" s="1" t="s">
        <v>20</v>
      </c>
      <c r="I432" s="1" t="s">
        <v>14</v>
      </c>
      <c r="J432">
        <v>4</v>
      </c>
      <c r="K432" s="1" t="s">
        <v>62</v>
      </c>
      <c r="L432" s="1" t="s">
        <v>23</v>
      </c>
      <c r="M432">
        <v>32</v>
      </c>
      <c r="N432" s="1" t="str" cm="1">
        <f t="array" ref="N432">_xlfn.IFS(M432&lt;40, " Adult", M432&lt;60, "Middle Age", M432&gt;=60, "Older Adult")</f>
        <v xml:space="preserve"> Adult</v>
      </c>
      <c r="O432" s="1" t="s">
        <v>14</v>
      </c>
      <c r="P432" s="1">
        <f>IF(O432="Yes", 1)</f>
        <v>1</v>
      </c>
      <c r="Q432" s="1"/>
    </row>
    <row r="433" spans="1:17" x14ac:dyDescent="0.25">
      <c r="A433">
        <v>26032</v>
      </c>
      <c r="B433" s="1" t="s">
        <v>31</v>
      </c>
      <c r="C433" s="1" t="s">
        <v>33</v>
      </c>
      <c r="D433" s="2">
        <v>70000</v>
      </c>
      <c r="E433" s="2" t="str">
        <f>IF(bike_buyers[[#This Row],[Income]]&lt;40000,"Under 40K", IF(bike_buyers[[#This Row],[Income]]&lt;60000,"40K-59K", IF(bike_buyers[[#This Row],[Income]]&lt;80000,"60K-79K", IF(bike_buyers[[#This Row],[Income]]&lt;100000,"80K-99K","100K+"))))</f>
        <v>60K-79K</v>
      </c>
      <c r="F433">
        <v>5</v>
      </c>
      <c r="G433" s="1" t="s">
        <v>12</v>
      </c>
      <c r="H433" s="1" t="s">
        <v>20</v>
      </c>
      <c r="I433" s="1" t="s">
        <v>14</v>
      </c>
      <c r="J433">
        <v>4</v>
      </c>
      <c r="K433" s="1" t="s">
        <v>62</v>
      </c>
      <c r="L433" s="1" t="s">
        <v>23</v>
      </c>
      <c r="M433">
        <v>41</v>
      </c>
      <c r="N433" s="1" t="str" cm="1">
        <f t="array" ref="N433">_xlfn.IFS(M433&lt;40, " Adult", M433&lt;60, "Middle Age", M433&gt;=60, "Older Adult")</f>
        <v>Middle Age</v>
      </c>
      <c r="O433" s="1" t="s">
        <v>17</v>
      </c>
      <c r="P433" s="1" t="b">
        <f>IF(O433="Yes", 1)</f>
        <v>0</v>
      </c>
      <c r="Q433" s="1"/>
    </row>
    <row r="434" spans="1:17" x14ac:dyDescent="0.25">
      <c r="A434">
        <v>11147</v>
      </c>
      <c r="B434" s="1" t="s">
        <v>31</v>
      </c>
      <c r="C434" s="1" t="s">
        <v>32</v>
      </c>
      <c r="D434" s="2">
        <v>60000</v>
      </c>
      <c r="E434" s="2" t="str">
        <f>IF(bike_buyers[[#This Row],[Income]]&lt;40000,"Under 40K", IF(bike_buyers[[#This Row],[Income]]&lt;60000,"40K-59K", IF(bike_buyers[[#This Row],[Income]]&lt;80000,"60K-79K", IF(bike_buyers[[#This Row],[Income]]&lt;100000,"80K-99K","100K+"))))</f>
        <v>60K-79K</v>
      </c>
      <c r="F434">
        <v>2</v>
      </c>
      <c r="G434" s="1" t="s">
        <v>29</v>
      </c>
      <c r="H434" s="1" t="s">
        <v>27</v>
      </c>
      <c r="I434" s="1" t="s">
        <v>14</v>
      </c>
      <c r="J434">
        <v>1</v>
      </c>
      <c r="K434" s="1" t="s">
        <v>15</v>
      </c>
      <c r="L434" s="1" t="s">
        <v>23</v>
      </c>
      <c r="M434">
        <v>67</v>
      </c>
      <c r="N434" s="1" t="str" cm="1">
        <f t="array" ref="N434">_xlfn.IFS(M434&lt;40, " Adult", M434&lt;60, "Middle Age", M434&gt;=60, "Older Adult")</f>
        <v>Older Adult</v>
      </c>
      <c r="O434" s="1" t="s">
        <v>14</v>
      </c>
      <c r="P434" s="1">
        <f>IF(O434="Yes", 1)</f>
        <v>1</v>
      </c>
      <c r="Q434" s="1"/>
    </row>
    <row r="435" spans="1:17" x14ac:dyDescent="0.25">
      <c r="A435">
        <v>24584</v>
      </c>
      <c r="B435" s="1" t="s">
        <v>34</v>
      </c>
      <c r="C435" s="1" t="s">
        <v>32</v>
      </c>
      <c r="D435" s="2">
        <v>60000</v>
      </c>
      <c r="E435" s="2" t="str">
        <f>IF(bike_buyers[[#This Row],[Income]]&lt;40000,"Under 40K", IF(bike_buyers[[#This Row],[Income]]&lt;60000,"40K-59K", IF(bike_buyers[[#This Row],[Income]]&lt;80000,"60K-79K", IF(bike_buyers[[#This Row],[Income]]&lt;100000,"80K-99K","100K+"))))</f>
        <v>60K-79K</v>
      </c>
      <c r="F435">
        <v>0</v>
      </c>
      <c r="G435" s="1" t="s">
        <v>12</v>
      </c>
      <c r="H435" s="1" t="s">
        <v>20</v>
      </c>
      <c r="I435" s="1" t="s">
        <v>17</v>
      </c>
      <c r="J435">
        <v>3</v>
      </c>
      <c r="K435" s="1" t="s">
        <v>21</v>
      </c>
      <c r="L435" s="1" t="s">
        <v>23</v>
      </c>
      <c r="M435">
        <v>31</v>
      </c>
      <c r="N435" s="1" t="str" cm="1">
        <f t="array" ref="N435">_xlfn.IFS(M435&lt;40, " Adult", M435&lt;60, "Middle Age", M435&gt;=60, "Older Adult")</f>
        <v xml:space="preserve"> Adult</v>
      </c>
      <c r="O435" s="1" t="s">
        <v>17</v>
      </c>
      <c r="P435" s="1" t="b">
        <f>IF(O435="Yes", 1)</f>
        <v>0</v>
      </c>
      <c r="Q435" s="1"/>
    </row>
    <row r="436" spans="1:17" x14ac:dyDescent="0.25">
      <c r="A436">
        <v>29298</v>
      </c>
      <c r="B436" s="1" t="s">
        <v>34</v>
      </c>
      <c r="C436" s="1" t="s">
        <v>33</v>
      </c>
      <c r="D436" s="2">
        <v>60000</v>
      </c>
      <c r="E436" s="2" t="str">
        <f>IF(bike_buyers[[#This Row],[Income]]&lt;40000,"Under 40K", IF(bike_buyers[[#This Row],[Income]]&lt;60000,"40K-59K", IF(bike_buyers[[#This Row],[Income]]&lt;80000,"60K-79K", IF(bike_buyers[[#This Row],[Income]]&lt;100000,"80K-99K","100K+"))))</f>
        <v>60K-79K</v>
      </c>
      <c r="F436">
        <v>1</v>
      </c>
      <c r="G436" s="1" t="s">
        <v>18</v>
      </c>
      <c r="H436" s="1" t="s">
        <v>13</v>
      </c>
      <c r="I436" s="1" t="s">
        <v>14</v>
      </c>
      <c r="J436">
        <v>1</v>
      </c>
      <c r="K436" s="1" t="s">
        <v>22</v>
      </c>
      <c r="L436" s="1" t="s">
        <v>23</v>
      </c>
      <c r="M436">
        <v>46</v>
      </c>
      <c r="N436" s="1" t="str" cm="1">
        <f t="array" ref="N436">_xlfn.IFS(M436&lt;40, " Adult", M436&lt;60, "Middle Age", M436&gt;=60, "Older Adult")</f>
        <v>Middle Age</v>
      </c>
      <c r="O436" s="1" t="s">
        <v>14</v>
      </c>
      <c r="P436" s="1">
        <f>IF(O436="Yes", 1)</f>
        <v>1</v>
      </c>
      <c r="Q436" s="1"/>
    </row>
    <row r="437" spans="1:17" x14ac:dyDescent="0.25">
      <c r="A437">
        <v>11451</v>
      </c>
      <c r="B437" s="1" t="s">
        <v>34</v>
      </c>
      <c r="C437" s="1" t="s">
        <v>32</v>
      </c>
      <c r="D437" s="2">
        <v>70000</v>
      </c>
      <c r="E437" s="2" t="str">
        <f>IF(bike_buyers[[#This Row],[Income]]&lt;40000,"Under 40K", IF(bike_buyers[[#This Row],[Income]]&lt;60000,"40K-59K", IF(bike_buyers[[#This Row],[Income]]&lt;80000,"60K-79K", IF(bike_buyers[[#This Row],[Income]]&lt;100000,"80K-99K","100K+"))))</f>
        <v>60K-79K</v>
      </c>
      <c r="F437">
        <v>0</v>
      </c>
      <c r="G437" s="1" t="s">
        <v>12</v>
      </c>
      <c r="H437" s="1" t="s">
        <v>20</v>
      </c>
      <c r="I437" s="1" t="s">
        <v>17</v>
      </c>
      <c r="J437">
        <v>4</v>
      </c>
      <c r="K437" s="1" t="s">
        <v>62</v>
      </c>
      <c r="L437" s="1" t="s">
        <v>23</v>
      </c>
      <c r="M437">
        <v>31</v>
      </c>
      <c r="N437" s="1" t="str" cm="1">
        <f t="array" ref="N437">_xlfn.IFS(M437&lt;40, " Adult", M437&lt;60, "Middle Age", M437&gt;=60, "Older Adult")</f>
        <v xml:space="preserve"> Adult</v>
      </c>
      <c r="O437" s="1" t="s">
        <v>14</v>
      </c>
      <c r="P437" s="1">
        <f>IF(O437="Yes", 1)</f>
        <v>1</v>
      </c>
      <c r="Q437" s="1"/>
    </row>
    <row r="438" spans="1:17" x14ac:dyDescent="0.25">
      <c r="A438">
        <v>27696</v>
      </c>
      <c r="B438" s="1" t="s">
        <v>31</v>
      </c>
      <c r="C438" s="1" t="s">
        <v>32</v>
      </c>
      <c r="D438" s="2">
        <v>60000</v>
      </c>
      <c r="E438" s="2" t="str">
        <f>IF(bike_buyers[[#This Row],[Income]]&lt;40000,"Under 40K", IF(bike_buyers[[#This Row],[Income]]&lt;60000,"40K-59K", IF(bike_buyers[[#This Row],[Income]]&lt;80000,"60K-79K", IF(bike_buyers[[#This Row],[Income]]&lt;100000,"80K-99K","100K+"))))</f>
        <v>60K-79K</v>
      </c>
      <c r="F438">
        <v>1</v>
      </c>
      <c r="G438" s="1" t="s">
        <v>12</v>
      </c>
      <c r="H438" s="1" t="s">
        <v>20</v>
      </c>
      <c r="I438" s="1" t="s">
        <v>14</v>
      </c>
      <c r="J438">
        <v>1</v>
      </c>
      <c r="K438" s="1" t="s">
        <v>22</v>
      </c>
      <c r="L438" s="1" t="s">
        <v>23</v>
      </c>
      <c r="M438">
        <v>43</v>
      </c>
      <c r="N438" s="1" t="str" cm="1">
        <f t="array" ref="N438">_xlfn.IFS(M438&lt;40, " Adult", M438&lt;60, "Middle Age", M438&gt;=60, "Older Adult")</f>
        <v>Middle Age</v>
      </c>
      <c r="O438" s="1" t="s">
        <v>14</v>
      </c>
      <c r="P438" s="1">
        <f>IF(O438="Yes", 1)</f>
        <v>1</v>
      </c>
      <c r="Q438" s="1"/>
    </row>
    <row r="439" spans="1:17" x14ac:dyDescent="0.25">
      <c r="A439">
        <v>18711</v>
      </c>
      <c r="B439" s="1" t="s">
        <v>34</v>
      </c>
      <c r="C439" s="1" t="s">
        <v>33</v>
      </c>
      <c r="D439" s="2">
        <v>70000</v>
      </c>
      <c r="E439" s="2" t="str">
        <f>IF(bike_buyers[[#This Row],[Income]]&lt;40000,"Under 40K", IF(bike_buyers[[#This Row],[Income]]&lt;60000,"40K-59K", IF(bike_buyers[[#This Row],[Income]]&lt;80000,"60K-79K", IF(bike_buyers[[#This Row],[Income]]&lt;100000,"80K-99K","100K+"))))</f>
        <v>60K-79K</v>
      </c>
      <c r="F439">
        <v>5</v>
      </c>
      <c r="G439" s="1" t="s">
        <v>12</v>
      </c>
      <c r="H439" s="1" t="s">
        <v>20</v>
      </c>
      <c r="I439" s="1" t="s">
        <v>14</v>
      </c>
      <c r="J439">
        <v>4</v>
      </c>
      <c r="K439" s="1" t="s">
        <v>62</v>
      </c>
      <c r="L439" s="1" t="s">
        <v>23</v>
      </c>
      <c r="M439">
        <v>39</v>
      </c>
      <c r="N439" s="1" t="str" cm="1">
        <f t="array" ref="N439">_xlfn.IFS(M439&lt;40, " Adult", M439&lt;60, "Middle Age", M439&gt;=60, "Older Adult")</f>
        <v xml:space="preserve"> Adult</v>
      </c>
      <c r="O439" s="1" t="s">
        <v>17</v>
      </c>
      <c r="P439" s="1" t="b">
        <f>IF(O439="Yes", 1)</f>
        <v>0</v>
      </c>
      <c r="Q439" s="1"/>
    </row>
    <row r="440" spans="1:17" x14ac:dyDescent="0.25">
      <c r="A440">
        <v>22006</v>
      </c>
      <c r="B440" s="1" t="s">
        <v>31</v>
      </c>
      <c r="C440" s="1" t="s">
        <v>32</v>
      </c>
      <c r="D440" s="2">
        <v>70000</v>
      </c>
      <c r="E440" s="2" t="str">
        <f>IF(bike_buyers[[#This Row],[Income]]&lt;40000,"Under 40K", IF(bike_buyers[[#This Row],[Income]]&lt;60000,"40K-59K", IF(bike_buyers[[#This Row],[Income]]&lt;80000,"60K-79K", IF(bike_buyers[[#This Row],[Income]]&lt;100000,"80K-99K","100K+"))))</f>
        <v>60K-79K</v>
      </c>
      <c r="F440">
        <v>5</v>
      </c>
      <c r="G440" s="1" t="s">
        <v>18</v>
      </c>
      <c r="H440" s="1" t="s">
        <v>13</v>
      </c>
      <c r="I440" s="1" t="s">
        <v>14</v>
      </c>
      <c r="J440">
        <v>3</v>
      </c>
      <c r="K440" s="1" t="s">
        <v>22</v>
      </c>
      <c r="L440" s="1" t="s">
        <v>23</v>
      </c>
      <c r="M440">
        <v>46</v>
      </c>
      <c r="N440" s="1" t="str" cm="1">
        <f t="array" ref="N440">_xlfn.IFS(M440&lt;40, " Adult", M440&lt;60, "Middle Age", M440&gt;=60, "Older Adult")</f>
        <v>Middle Age</v>
      </c>
      <c r="O440" s="1" t="s">
        <v>17</v>
      </c>
      <c r="P440" s="1" t="b">
        <f>IF(O440="Yes", 1)</f>
        <v>0</v>
      </c>
      <c r="Q440" s="1"/>
    </row>
    <row r="441" spans="1:17" x14ac:dyDescent="0.25">
      <c r="A441">
        <v>23432</v>
      </c>
      <c r="B441" s="1" t="s">
        <v>34</v>
      </c>
      <c r="C441" s="1" t="s">
        <v>32</v>
      </c>
      <c r="D441" s="2">
        <v>70000</v>
      </c>
      <c r="E441" s="2" t="str">
        <f>IF(bike_buyers[[#This Row],[Income]]&lt;40000,"Under 40K", IF(bike_buyers[[#This Row],[Income]]&lt;60000,"40K-59K", IF(bike_buyers[[#This Row],[Income]]&lt;80000,"60K-79K", IF(bike_buyers[[#This Row],[Income]]&lt;100000,"80K-99K","100K+"))))</f>
        <v>60K-79K</v>
      </c>
      <c r="F441">
        <v>0</v>
      </c>
      <c r="G441" s="1" t="s">
        <v>12</v>
      </c>
      <c r="H441" s="1" t="s">
        <v>20</v>
      </c>
      <c r="I441" s="1" t="s">
        <v>14</v>
      </c>
      <c r="J441">
        <v>1</v>
      </c>
      <c r="K441" s="1" t="s">
        <v>22</v>
      </c>
      <c r="L441" s="1" t="s">
        <v>23</v>
      </c>
      <c r="M441">
        <v>37</v>
      </c>
      <c r="N441" s="1" t="str" cm="1">
        <f t="array" ref="N441">_xlfn.IFS(M441&lt;40, " Adult", M441&lt;60, "Middle Age", M441&gt;=60, "Older Adult")</f>
        <v xml:space="preserve"> Adult</v>
      </c>
      <c r="O441" s="1" t="s">
        <v>14</v>
      </c>
      <c r="P441" s="1">
        <f>IF(O441="Yes", 1)</f>
        <v>1</v>
      </c>
      <c r="Q441" s="1"/>
    </row>
    <row r="442" spans="1:17" x14ac:dyDescent="0.25">
      <c r="A442">
        <v>12666</v>
      </c>
      <c r="B442" s="1" t="s">
        <v>34</v>
      </c>
      <c r="C442" s="1" t="s">
        <v>32</v>
      </c>
      <c r="D442" s="2">
        <v>60000</v>
      </c>
      <c r="E442" s="2" t="str">
        <f>IF(bike_buyers[[#This Row],[Income]]&lt;40000,"Under 40K", IF(bike_buyers[[#This Row],[Income]]&lt;60000,"40K-59K", IF(bike_buyers[[#This Row],[Income]]&lt;80000,"60K-79K", IF(bike_buyers[[#This Row],[Income]]&lt;100000,"80K-99K","100K+"))))</f>
        <v>60K-79K</v>
      </c>
      <c r="F442">
        <v>0</v>
      </c>
      <c r="G442" s="1" t="s">
        <v>12</v>
      </c>
      <c r="H442" s="1" t="s">
        <v>20</v>
      </c>
      <c r="I442" s="1" t="s">
        <v>17</v>
      </c>
      <c r="J442">
        <v>4</v>
      </c>
      <c r="K442" s="1" t="s">
        <v>21</v>
      </c>
      <c r="L442" s="1" t="s">
        <v>23</v>
      </c>
      <c r="M442">
        <v>31</v>
      </c>
      <c r="N442" s="1" t="str" cm="1">
        <f t="array" ref="N442">_xlfn.IFS(M442&lt;40, " Adult", M442&lt;60, "Middle Age", M442&gt;=60, "Older Adult")</f>
        <v xml:space="preserve"> Adult</v>
      </c>
      <c r="O442" s="1" t="s">
        <v>17</v>
      </c>
      <c r="P442" s="1" t="b">
        <f>IF(O442="Yes", 1)</f>
        <v>0</v>
      </c>
      <c r="Q442" s="1"/>
    </row>
    <row r="443" spans="1:17" x14ac:dyDescent="0.25">
      <c r="A443">
        <v>23419</v>
      </c>
      <c r="B443" s="1" t="s">
        <v>34</v>
      </c>
      <c r="C443" s="1" t="s">
        <v>33</v>
      </c>
      <c r="D443" s="2">
        <v>70000</v>
      </c>
      <c r="E443" s="2" t="str">
        <f>IF(bike_buyers[[#This Row],[Income]]&lt;40000,"Under 40K", IF(bike_buyers[[#This Row],[Income]]&lt;60000,"40K-59K", IF(bike_buyers[[#This Row],[Income]]&lt;80000,"60K-79K", IF(bike_buyers[[#This Row],[Income]]&lt;100000,"80K-99K","100K+"))))</f>
        <v>60K-79K</v>
      </c>
      <c r="F443">
        <v>5</v>
      </c>
      <c r="G443" s="1" t="s">
        <v>12</v>
      </c>
      <c r="H443" s="1" t="s">
        <v>20</v>
      </c>
      <c r="I443" s="1" t="s">
        <v>14</v>
      </c>
      <c r="J443">
        <v>3</v>
      </c>
      <c r="K443" s="1" t="s">
        <v>62</v>
      </c>
      <c r="L443" s="1" t="s">
        <v>23</v>
      </c>
      <c r="M443">
        <v>39</v>
      </c>
      <c r="N443" s="1" t="str" cm="1">
        <f t="array" ref="N443">_xlfn.IFS(M443&lt;40, " Adult", M443&lt;60, "Middle Age", M443&gt;=60, "Older Adult")</f>
        <v xml:space="preserve"> Adult</v>
      </c>
      <c r="O443" s="1" t="s">
        <v>17</v>
      </c>
      <c r="P443" s="1" t="b">
        <f>IF(O443="Yes", 1)</f>
        <v>0</v>
      </c>
      <c r="Q443" s="1"/>
    </row>
    <row r="444" spans="1:17" x14ac:dyDescent="0.25">
      <c r="A444">
        <v>19626</v>
      </c>
      <c r="B444" s="1" t="s">
        <v>31</v>
      </c>
      <c r="C444" s="1" t="s">
        <v>32</v>
      </c>
      <c r="D444" s="2">
        <v>70000</v>
      </c>
      <c r="E444" s="2" t="str">
        <f>IF(bike_buyers[[#This Row],[Income]]&lt;40000,"Under 40K", IF(bike_buyers[[#This Row],[Income]]&lt;60000,"40K-59K", IF(bike_buyers[[#This Row],[Income]]&lt;80000,"60K-79K", IF(bike_buyers[[#This Row],[Income]]&lt;100000,"80K-99K","100K+"))))</f>
        <v>60K-79K</v>
      </c>
      <c r="F444">
        <v>5</v>
      </c>
      <c r="G444" s="1" t="s">
        <v>18</v>
      </c>
      <c r="H444" s="1" t="s">
        <v>13</v>
      </c>
      <c r="I444" s="1" t="s">
        <v>14</v>
      </c>
      <c r="J444">
        <v>3</v>
      </c>
      <c r="K444" s="1" t="s">
        <v>22</v>
      </c>
      <c r="L444" s="1" t="s">
        <v>23</v>
      </c>
      <c r="M444">
        <v>45</v>
      </c>
      <c r="N444" s="1" t="str" cm="1">
        <f t="array" ref="N444">_xlfn.IFS(M444&lt;40, " Adult", M444&lt;60, "Middle Age", M444&gt;=60, "Older Adult")</f>
        <v>Middle Age</v>
      </c>
      <c r="O444" s="1" t="s">
        <v>17</v>
      </c>
      <c r="P444" s="1" t="b">
        <f>IF(O444="Yes", 1)</f>
        <v>0</v>
      </c>
      <c r="Q444" s="1"/>
    </row>
    <row r="445" spans="1:17" x14ac:dyDescent="0.25">
      <c r="A445">
        <v>22005</v>
      </c>
      <c r="B445" s="1" t="s">
        <v>31</v>
      </c>
      <c r="C445" s="1" t="s">
        <v>33</v>
      </c>
      <c r="D445" s="2">
        <v>70000</v>
      </c>
      <c r="E445" s="2" t="str">
        <f>IF(bike_buyers[[#This Row],[Income]]&lt;40000,"Under 40K", IF(bike_buyers[[#This Row],[Income]]&lt;60000,"40K-59K", IF(bike_buyers[[#This Row],[Income]]&lt;80000,"60K-79K", IF(bike_buyers[[#This Row],[Income]]&lt;100000,"80K-99K","100K+"))))</f>
        <v>60K-79K</v>
      </c>
      <c r="F445">
        <v>5</v>
      </c>
      <c r="G445" s="1" t="s">
        <v>18</v>
      </c>
      <c r="H445" s="1" t="s">
        <v>13</v>
      </c>
      <c r="I445" s="1" t="s">
        <v>17</v>
      </c>
      <c r="J445">
        <v>3</v>
      </c>
      <c r="K445" s="1" t="s">
        <v>22</v>
      </c>
      <c r="L445" s="1" t="s">
        <v>23</v>
      </c>
      <c r="M445">
        <v>46</v>
      </c>
      <c r="N445" s="1" t="str" cm="1">
        <f t="array" ref="N445">_xlfn.IFS(M445&lt;40, " Adult", M445&lt;60, "Middle Age", M445&gt;=60, "Older Adult")</f>
        <v>Middle Age</v>
      </c>
      <c r="O445" s="1" t="s">
        <v>17</v>
      </c>
      <c r="P445" s="1" t="b">
        <f>IF(O445="Yes", 1)</f>
        <v>0</v>
      </c>
      <c r="Q445" s="1"/>
    </row>
    <row r="446" spans="1:17" x14ac:dyDescent="0.25">
      <c r="A446">
        <v>14312</v>
      </c>
      <c r="B446" s="1" t="s">
        <v>31</v>
      </c>
      <c r="C446" s="1" t="s">
        <v>33</v>
      </c>
      <c r="D446" s="2">
        <v>60000</v>
      </c>
      <c r="E446" s="2" t="str">
        <f>IF(bike_buyers[[#This Row],[Income]]&lt;40000,"Under 40K", IF(bike_buyers[[#This Row],[Income]]&lt;60000,"40K-59K", IF(bike_buyers[[#This Row],[Income]]&lt;80000,"60K-79K", IF(bike_buyers[[#This Row],[Income]]&lt;100000,"80K-99K","100K+"))))</f>
        <v>60K-79K</v>
      </c>
      <c r="F446">
        <v>1</v>
      </c>
      <c r="G446" s="1" t="s">
        <v>18</v>
      </c>
      <c r="H446" s="1" t="s">
        <v>13</v>
      </c>
      <c r="I446" s="1" t="s">
        <v>14</v>
      </c>
      <c r="J446">
        <v>1</v>
      </c>
      <c r="K446" s="1" t="s">
        <v>22</v>
      </c>
      <c r="L446" s="1" t="s">
        <v>23</v>
      </c>
      <c r="M446">
        <v>45</v>
      </c>
      <c r="N446" s="1" t="str" cm="1">
        <f t="array" ref="N446">_xlfn.IFS(M446&lt;40, " Adult", M446&lt;60, "Middle Age", M446&gt;=60, "Older Adult")</f>
        <v>Middle Age</v>
      </c>
      <c r="O446" s="1" t="s">
        <v>17</v>
      </c>
      <c r="P446" s="1" t="b">
        <f>IF(O446="Yes", 1)</f>
        <v>0</v>
      </c>
      <c r="Q446" s="1"/>
    </row>
    <row r="447" spans="1:17" x14ac:dyDescent="0.25">
      <c r="A447">
        <v>28319</v>
      </c>
      <c r="B447" s="1" t="s">
        <v>34</v>
      </c>
      <c r="C447" s="1" t="s">
        <v>33</v>
      </c>
      <c r="D447" s="2">
        <v>60000</v>
      </c>
      <c r="E447" s="2" t="str">
        <f>IF(bike_buyers[[#This Row],[Income]]&lt;40000,"Under 40K", IF(bike_buyers[[#This Row],[Income]]&lt;60000,"40K-59K", IF(bike_buyers[[#This Row],[Income]]&lt;80000,"60K-79K", IF(bike_buyers[[#This Row],[Income]]&lt;100000,"80K-99K","100K+"))))</f>
        <v>60K-79K</v>
      </c>
      <c r="F447">
        <v>1</v>
      </c>
      <c r="G447" s="1" t="s">
        <v>18</v>
      </c>
      <c r="H447" s="1" t="s">
        <v>13</v>
      </c>
      <c r="I447" s="1" t="s">
        <v>17</v>
      </c>
      <c r="J447">
        <v>1</v>
      </c>
      <c r="K447" s="1" t="s">
        <v>15</v>
      </c>
      <c r="L447" s="1" t="s">
        <v>23</v>
      </c>
      <c r="M447">
        <v>46</v>
      </c>
      <c r="N447" s="1" t="str" cm="1">
        <f t="array" ref="N447">_xlfn.IFS(M447&lt;40, " Adult", M447&lt;60, "Middle Age", M447&gt;=60, "Older Adult")</f>
        <v>Middle Age</v>
      </c>
      <c r="O447" s="1" t="s">
        <v>14</v>
      </c>
      <c r="P447" s="1">
        <f>IF(O447="Yes", 1)</f>
        <v>1</v>
      </c>
      <c r="Q447" s="1"/>
    </row>
    <row r="448" spans="1:17" x14ac:dyDescent="0.25">
      <c r="A448">
        <v>26663</v>
      </c>
      <c r="B448" s="1" t="s">
        <v>34</v>
      </c>
      <c r="C448" s="1" t="s">
        <v>33</v>
      </c>
      <c r="D448" s="2">
        <v>60000</v>
      </c>
      <c r="E448" s="2" t="str">
        <f>IF(bike_buyers[[#This Row],[Income]]&lt;40000,"Under 40K", IF(bike_buyers[[#This Row],[Income]]&lt;60000,"40K-59K", IF(bike_buyers[[#This Row],[Income]]&lt;80000,"60K-79K", IF(bike_buyers[[#This Row],[Income]]&lt;100000,"80K-99K","100K+"))))</f>
        <v>60K-79K</v>
      </c>
      <c r="F448">
        <v>2</v>
      </c>
      <c r="G448" s="1" t="s">
        <v>12</v>
      </c>
      <c r="H448" s="1" t="s">
        <v>20</v>
      </c>
      <c r="I448" s="1" t="s">
        <v>17</v>
      </c>
      <c r="J448">
        <v>1</v>
      </c>
      <c r="K448" s="1" t="s">
        <v>15</v>
      </c>
      <c r="L448" s="1" t="s">
        <v>23</v>
      </c>
      <c r="M448">
        <v>39</v>
      </c>
      <c r="N448" s="1" t="str" cm="1">
        <f t="array" ref="N448">_xlfn.IFS(M448&lt;40, " Adult", M448&lt;60, "Middle Age", M448&gt;=60, "Older Adult")</f>
        <v xml:space="preserve"> Adult</v>
      </c>
      <c r="O448" s="1" t="s">
        <v>14</v>
      </c>
      <c r="P448" s="1">
        <f>IF(O448="Yes", 1)</f>
        <v>1</v>
      </c>
      <c r="Q448" s="1"/>
    </row>
    <row r="449" spans="1:17" x14ac:dyDescent="0.25">
      <c r="A449">
        <v>21207</v>
      </c>
      <c r="B449" s="1" t="s">
        <v>31</v>
      </c>
      <c r="C449" s="1" t="s">
        <v>32</v>
      </c>
      <c r="D449" s="2">
        <v>60000</v>
      </c>
      <c r="E449" s="2" t="str">
        <f>IF(bike_buyers[[#This Row],[Income]]&lt;40000,"Under 40K", IF(bike_buyers[[#This Row],[Income]]&lt;60000,"40K-59K", IF(bike_buyers[[#This Row],[Income]]&lt;80000,"60K-79K", IF(bike_buyers[[#This Row],[Income]]&lt;100000,"80K-99K","100K+"))))</f>
        <v>60K-79K</v>
      </c>
      <c r="F449">
        <v>1</v>
      </c>
      <c r="G449" s="1" t="s">
        <v>18</v>
      </c>
      <c r="H449" s="1" t="s">
        <v>13</v>
      </c>
      <c r="I449" s="1" t="s">
        <v>14</v>
      </c>
      <c r="J449">
        <v>1</v>
      </c>
      <c r="K449" s="1" t="s">
        <v>22</v>
      </c>
      <c r="L449" s="1" t="s">
        <v>23</v>
      </c>
      <c r="M449">
        <v>46</v>
      </c>
      <c r="N449" s="1" t="str" cm="1">
        <f t="array" ref="N449">_xlfn.IFS(M449&lt;40, " Adult", M449&lt;60, "Middle Age", M449&gt;=60, "Older Adult")</f>
        <v>Middle Age</v>
      </c>
      <c r="O449" s="1" t="s">
        <v>17</v>
      </c>
      <c r="P449" s="1" t="b">
        <f>IF(O449="Yes", 1)</f>
        <v>0</v>
      </c>
      <c r="Q449" s="1"/>
    </row>
    <row r="450" spans="1:17" x14ac:dyDescent="0.25">
      <c r="A450">
        <v>21213</v>
      </c>
      <c r="B450" s="1" t="s">
        <v>34</v>
      </c>
      <c r="C450" s="1" t="s">
        <v>32</v>
      </c>
      <c r="D450" s="2">
        <v>70000</v>
      </c>
      <c r="E450" s="2" t="str">
        <f>IF(bike_buyers[[#This Row],[Income]]&lt;40000,"Under 40K", IF(bike_buyers[[#This Row],[Income]]&lt;60000,"40K-59K", IF(bike_buyers[[#This Row],[Income]]&lt;80000,"60K-79K", IF(bike_buyers[[#This Row],[Income]]&lt;100000,"80K-99K","100K+"))))</f>
        <v>60K-79K</v>
      </c>
      <c r="F450">
        <v>0</v>
      </c>
      <c r="G450" s="1" t="s">
        <v>12</v>
      </c>
      <c r="H450" s="1" t="s">
        <v>20</v>
      </c>
      <c r="I450" s="1" t="s">
        <v>17</v>
      </c>
      <c r="J450">
        <v>1</v>
      </c>
      <c r="K450" s="1" t="s">
        <v>22</v>
      </c>
      <c r="L450" s="1" t="s">
        <v>23</v>
      </c>
      <c r="M450">
        <v>41</v>
      </c>
      <c r="N450" s="1" t="str" cm="1">
        <f t="array" ref="N450">_xlfn.IFS(M450&lt;40, " Adult", M450&lt;60, "Middle Age", M450&gt;=60, "Older Adult")</f>
        <v>Middle Age</v>
      </c>
      <c r="O450" s="1" t="s">
        <v>17</v>
      </c>
      <c r="P450" s="1" t="b">
        <f>IF(O450="Yes", 1)</f>
        <v>0</v>
      </c>
      <c r="Q450" s="1"/>
    </row>
    <row r="451" spans="1:17" x14ac:dyDescent="0.25">
      <c r="A451">
        <v>22936</v>
      </c>
      <c r="B451" s="1" t="s">
        <v>34</v>
      </c>
      <c r="C451" s="1" t="s">
        <v>33</v>
      </c>
      <c r="D451" s="2">
        <v>60000</v>
      </c>
      <c r="E451" s="2" t="str">
        <f>IF(bike_buyers[[#This Row],[Income]]&lt;40000,"Under 40K", IF(bike_buyers[[#This Row],[Income]]&lt;60000,"40K-59K", IF(bike_buyers[[#This Row],[Income]]&lt;80000,"60K-79K", IF(bike_buyers[[#This Row],[Income]]&lt;100000,"80K-99K","100K+"))))</f>
        <v>60K-79K</v>
      </c>
      <c r="F451">
        <v>1</v>
      </c>
      <c r="G451" s="1" t="s">
        <v>18</v>
      </c>
      <c r="H451" s="1" t="s">
        <v>13</v>
      </c>
      <c r="I451" s="1" t="s">
        <v>17</v>
      </c>
      <c r="J451">
        <v>1</v>
      </c>
      <c r="K451" s="1" t="s">
        <v>15</v>
      </c>
      <c r="L451" s="1" t="s">
        <v>23</v>
      </c>
      <c r="M451">
        <v>45</v>
      </c>
      <c r="N451" s="1" t="str" cm="1">
        <f t="array" ref="N451">_xlfn.IFS(M451&lt;40, " Adult", M451&lt;60, "Middle Age", M451&gt;=60, "Older Adult")</f>
        <v>Middle Age</v>
      </c>
      <c r="O451" s="1" t="s">
        <v>14</v>
      </c>
      <c r="P451" s="1">
        <f>IF(O451="Yes", 1)</f>
        <v>1</v>
      </c>
      <c r="Q451" s="1"/>
    </row>
    <row r="452" spans="1:17" x14ac:dyDescent="0.25">
      <c r="A452">
        <v>17310</v>
      </c>
      <c r="B452" s="1" t="s">
        <v>31</v>
      </c>
      <c r="C452" s="1" t="s">
        <v>32</v>
      </c>
      <c r="D452" s="2">
        <v>60000</v>
      </c>
      <c r="E452" s="2" t="str">
        <f>IF(bike_buyers[[#This Row],[Income]]&lt;40000,"Under 40K", IF(bike_buyers[[#This Row],[Income]]&lt;60000,"40K-59K", IF(bike_buyers[[#This Row],[Income]]&lt;80000,"60K-79K", IF(bike_buyers[[#This Row],[Income]]&lt;100000,"80K-99K","100K+"))))</f>
        <v>60K-79K</v>
      </c>
      <c r="F452">
        <v>1</v>
      </c>
      <c r="G452" s="1" t="s">
        <v>18</v>
      </c>
      <c r="H452" s="1" t="s">
        <v>13</v>
      </c>
      <c r="I452" s="1" t="s">
        <v>14</v>
      </c>
      <c r="J452">
        <v>1</v>
      </c>
      <c r="K452" s="1" t="s">
        <v>15</v>
      </c>
      <c r="L452" s="1" t="s">
        <v>23</v>
      </c>
      <c r="M452">
        <v>45</v>
      </c>
      <c r="N452" s="1" t="str" cm="1">
        <f t="array" ref="N452">_xlfn.IFS(M452&lt;40, " Adult", M452&lt;60, "Middle Age", M452&gt;=60, "Older Adult")</f>
        <v>Middle Age</v>
      </c>
      <c r="O452" s="1" t="s">
        <v>14</v>
      </c>
      <c r="P452" s="1">
        <f>IF(O452="Yes", 1)</f>
        <v>1</v>
      </c>
      <c r="Q452" s="1"/>
    </row>
    <row r="453" spans="1:17" x14ac:dyDescent="0.25">
      <c r="A453">
        <v>18267</v>
      </c>
      <c r="B453" s="1" t="s">
        <v>31</v>
      </c>
      <c r="C453" s="1" t="s">
        <v>32</v>
      </c>
      <c r="D453" s="2">
        <v>60000</v>
      </c>
      <c r="E453" s="2" t="str">
        <f>IF(bike_buyers[[#This Row],[Income]]&lt;40000,"Under 40K", IF(bike_buyers[[#This Row],[Income]]&lt;60000,"40K-59K", IF(bike_buyers[[#This Row],[Income]]&lt;80000,"60K-79K", IF(bike_buyers[[#This Row],[Income]]&lt;100000,"80K-99K","100K+"))))</f>
        <v>60K-79K</v>
      </c>
      <c r="F453">
        <v>3</v>
      </c>
      <c r="G453" s="1" t="s">
        <v>12</v>
      </c>
      <c r="H453" s="1" t="s">
        <v>20</v>
      </c>
      <c r="I453" s="1" t="s">
        <v>14</v>
      </c>
      <c r="J453">
        <v>2</v>
      </c>
      <c r="K453" s="1" t="s">
        <v>22</v>
      </c>
      <c r="L453" s="1" t="s">
        <v>23</v>
      </c>
      <c r="M453">
        <v>43</v>
      </c>
      <c r="N453" s="1" t="str" cm="1">
        <f t="array" ref="N453">_xlfn.IFS(M453&lt;40, " Adult", M453&lt;60, "Middle Age", M453&gt;=60, "Older Adult")</f>
        <v>Middle Age</v>
      </c>
      <c r="O453" s="1" t="s">
        <v>17</v>
      </c>
      <c r="P453" s="1" t="b">
        <f>IF(O453="Yes", 1)</f>
        <v>0</v>
      </c>
      <c r="Q453" s="1"/>
    </row>
    <row r="454" spans="1:17" x14ac:dyDescent="0.25">
      <c r="A454">
        <v>13620</v>
      </c>
      <c r="B454" s="1" t="s">
        <v>34</v>
      </c>
      <c r="C454" s="1" t="s">
        <v>32</v>
      </c>
      <c r="D454" s="2">
        <v>70000</v>
      </c>
      <c r="E454" s="2" t="str">
        <f>IF(bike_buyers[[#This Row],[Income]]&lt;40000,"Under 40K", IF(bike_buyers[[#This Row],[Income]]&lt;60000,"40K-59K", IF(bike_buyers[[#This Row],[Income]]&lt;80000,"60K-79K", IF(bike_buyers[[#This Row],[Income]]&lt;100000,"80K-99K","100K+"))))</f>
        <v>60K-79K</v>
      </c>
      <c r="F454">
        <v>0</v>
      </c>
      <c r="G454" s="1" t="s">
        <v>12</v>
      </c>
      <c r="H454" s="1" t="s">
        <v>20</v>
      </c>
      <c r="I454" s="1" t="s">
        <v>17</v>
      </c>
      <c r="J454">
        <v>3</v>
      </c>
      <c r="K454" s="1" t="s">
        <v>62</v>
      </c>
      <c r="L454" s="1" t="s">
        <v>23</v>
      </c>
      <c r="M454">
        <v>30</v>
      </c>
      <c r="N454" s="1" t="str" cm="1">
        <f t="array" ref="N454">_xlfn.IFS(M454&lt;40, " Adult", M454&lt;60, "Middle Age", M454&gt;=60, "Older Adult")</f>
        <v xml:space="preserve"> Adult</v>
      </c>
      <c r="O454" s="1" t="s">
        <v>14</v>
      </c>
      <c r="P454" s="1">
        <f>IF(O454="Yes", 1)</f>
        <v>1</v>
      </c>
      <c r="Q454" s="1"/>
    </row>
    <row r="455" spans="1:17" x14ac:dyDescent="0.25">
      <c r="A455">
        <v>21184</v>
      </c>
      <c r="B455" s="1" t="s">
        <v>34</v>
      </c>
      <c r="C455" s="1" t="s">
        <v>32</v>
      </c>
      <c r="D455" s="2">
        <v>70000</v>
      </c>
      <c r="E455" s="2" t="str">
        <f>IF(bike_buyers[[#This Row],[Income]]&lt;40000,"Under 40K", IF(bike_buyers[[#This Row],[Income]]&lt;60000,"40K-59K", IF(bike_buyers[[#This Row],[Income]]&lt;80000,"60K-79K", IF(bike_buyers[[#This Row],[Income]]&lt;100000,"80K-99K","100K+"))))</f>
        <v>60K-79K</v>
      </c>
      <c r="F455">
        <v>0</v>
      </c>
      <c r="G455" s="1" t="s">
        <v>12</v>
      </c>
      <c r="H455" s="1" t="s">
        <v>20</v>
      </c>
      <c r="I455" s="1" t="s">
        <v>17</v>
      </c>
      <c r="J455">
        <v>1</v>
      </c>
      <c r="K455" s="1" t="s">
        <v>22</v>
      </c>
      <c r="L455" s="1" t="s">
        <v>23</v>
      </c>
      <c r="M455">
        <v>38</v>
      </c>
      <c r="N455" s="1" t="str" cm="1">
        <f t="array" ref="N455">_xlfn.IFS(M455&lt;40, " Adult", M455&lt;60, "Middle Age", M455&gt;=60, "Older Adult")</f>
        <v xml:space="preserve"> Adult</v>
      </c>
      <c r="O455" s="1" t="s">
        <v>17</v>
      </c>
      <c r="P455" s="1" t="b">
        <f>IF(O455="Yes", 1)</f>
        <v>0</v>
      </c>
      <c r="Q455" s="1"/>
    </row>
    <row r="456" spans="1:17" x14ac:dyDescent="0.25">
      <c r="A456">
        <v>26150</v>
      </c>
      <c r="B456" s="1" t="s">
        <v>34</v>
      </c>
      <c r="C456" s="1" t="s">
        <v>33</v>
      </c>
      <c r="D456" s="2">
        <v>70000</v>
      </c>
      <c r="E456" s="2" t="str">
        <f>IF(bike_buyers[[#This Row],[Income]]&lt;40000,"Under 40K", IF(bike_buyers[[#This Row],[Income]]&lt;60000,"40K-59K", IF(bike_buyers[[#This Row],[Income]]&lt;80000,"60K-79K", IF(bike_buyers[[#This Row],[Income]]&lt;100000,"80K-99K","100K+"))))</f>
        <v>60K-79K</v>
      </c>
      <c r="F456">
        <v>0</v>
      </c>
      <c r="G456" s="1" t="s">
        <v>12</v>
      </c>
      <c r="H456" s="1" t="s">
        <v>20</v>
      </c>
      <c r="I456" s="1" t="s">
        <v>17</v>
      </c>
      <c r="J456">
        <v>1</v>
      </c>
      <c r="K456" s="1" t="s">
        <v>15</v>
      </c>
      <c r="L456" s="1" t="s">
        <v>23</v>
      </c>
      <c r="M456">
        <v>41</v>
      </c>
      <c r="N456" s="1" t="str" cm="1">
        <f t="array" ref="N456">_xlfn.IFS(M456&lt;40, " Adult", M456&lt;60, "Middle Age", M456&gt;=60, "Older Adult")</f>
        <v>Middle Age</v>
      </c>
      <c r="O456" s="1" t="s">
        <v>14</v>
      </c>
      <c r="P456" s="1">
        <f>IF(O456="Yes", 1)</f>
        <v>1</v>
      </c>
      <c r="Q456" s="1"/>
    </row>
    <row r="457" spans="1:17" x14ac:dyDescent="0.25">
      <c r="A457">
        <v>16163</v>
      </c>
      <c r="B457" s="1" t="s">
        <v>34</v>
      </c>
      <c r="C457" s="1" t="s">
        <v>32</v>
      </c>
      <c r="D457" s="2">
        <v>60000</v>
      </c>
      <c r="E457" s="2" t="str">
        <f>IF(bike_buyers[[#This Row],[Income]]&lt;40000,"Under 40K", IF(bike_buyers[[#This Row],[Income]]&lt;60000,"40K-59K", IF(bike_buyers[[#This Row],[Income]]&lt;80000,"60K-79K", IF(bike_buyers[[#This Row],[Income]]&lt;100000,"80K-99K","100K+"))))</f>
        <v>60K-79K</v>
      </c>
      <c r="F457">
        <v>2</v>
      </c>
      <c r="G457" s="1" t="s">
        <v>12</v>
      </c>
      <c r="H457" s="1" t="s">
        <v>20</v>
      </c>
      <c r="I457" s="1" t="s">
        <v>14</v>
      </c>
      <c r="J457">
        <v>1</v>
      </c>
      <c r="K457" s="1" t="s">
        <v>21</v>
      </c>
      <c r="L457" s="1" t="s">
        <v>23</v>
      </c>
      <c r="M457">
        <v>38</v>
      </c>
      <c r="N457" s="1" t="str" cm="1">
        <f t="array" ref="N457">_xlfn.IFS(M457&lt;40, " Adult", M457&lt;60, "Middle Age", M457&gt;=60, "Older Adult")</f>
        <v xml:space="preserve"> Adult</v>
      </c>
      <c r="O457" s="1" t="s">
        <v>14</v>
      </c>
      <c r="P457" s="1">
        <f>IF(O457="Yes", 1)</f>
        <v>1</v>
      </c>
      <c r="Q457" s="1"/>
    </row>
    <row r="458" spans="1:17" x14ac:dyDescent="0.25">
      <c r="A458">
        <v>11116</v>
      </c>
      <c r="B458" s="1" t="s">
        <v>31</v>
      </c>
      <c r="C458" s="1" t="s">
        <v>32</v>
      </c>
      <c r="D458" s="2">
        <v>70000</v>
      </c>
      <c r="E458" s="2" t="str">
        <f>IF(bike_buyers[[#This Row],[Income]]&lt;40000,"Under 40K", IF(bike_buyers[[#This Row],[Income]]&lt;60000,"40K-59K", IF(bike_buyers[[#This Row],[Income]]&lt;80000,"60K-79K", IF(bike_buyers[[#This Row],[Income]]&lt;100000,"80K-99K","100K+"))))</f>
        <v>60K-79K</v>
      </c>
      <c r="F458">
        <v>5</v>
      </c>
      <c r="G458" s="1" t="s">
        <v>18</v>
      </c>
      <c r="H458" s="1" t="s">
        <v>13</v>
      </c>
      <c r="I458" s="1" t="s">
        <v>14</v>
      </c>
      <c r="J458">
        <v>2</v>
      </c>
      <c r="K458" s="1" t="s">
        <v>22</v>
      </c>
      <c r="L458" s="1" t="s">
        <v>23</v>
      </c>
      <c r="M458">
        <v>43</v>
      </c>
      <c r="N458" s="1" t="str" cm="1">
        <f t="array" ref="N458">_xlfn.IFS(M458&lt;40, " Adult", M458&lt;60, "Middle Age", M458&gt;=60, "Older Adult")</f>
        <v>Middle Age</v>
      </c>
      <c r="O458" s="1" t="s">
        <v>17</v>
      </c>
      <c r="P458" s="1" t="b">
        <f>IF(O458="Yes", 1)</f>
        <v>0</v>
      </c>
      <c r="Q458" s="1"/>
    </row>
    <row r="459" spans="1:17" x14ac:dyDescent="0.25">
      <c r="A459">
        <v>11897</v>
      </c>
      <c r="B459" s="1" t="s">
        <v>34</v>
      </c>
      <c r="C459" s="1" t="s">
        <v>32</v>
      </c>
      <c r="D459" s="2">
        <v>60000</v>
      </c>
      <c r="E459" s="2" t="str">
        <f>IF(bike_buyers[[#This Row],[Income]]&lt;40000,"Under 40K", IF(bike_buyers[[#This Row],[Income]]&lt;60000,"40K-59K", IF(bike_buyers[[#This Row],[Income]]&lt;80000,"60K-79K", IF(bike_buyers[[#This Row],[Income]]&lt;100000,"80K-99K","100K+"))))</f>
        <v>60K-79K</v>
      </c>
      <c r="F459">
        <v>2</v>
      </c>
      <c r="G459" s="1" t="s">
        <v>12</v>
      </c>
      <c r="H459" s="1" t="s">
        <v>20</v>
      </c>
      <c r="I459" s="1" t="s">
        <v>17</v>
      </c>
      <c r="J459">
        <v>1</v>
      </c>
      <c r="K459" s="1" t="s">
        <v>15</v>
      </c>
      <c r="L459" s="1" t="s">
        <v>23</v>
      </c>
      <c r="M459">
        <v>37</v>
      </c>
      <c r="N459" s="1" t="str" cm="1">
        <f t="array" ref="N459">_xlfn.IFS(M459&lt;40, " Adult", M459&lt;60, "Middle Age", M459&gt;=60, "Older Adult")</f>
        <v xml:space="preserve"> Adult</v>
      </c>
      <c r="O459" s="1" t="s">
        <v>14</v>
      </c>
      <c r="P459" s="1">
        <f>IF(O459="Yes", 1)</f>
        <v>1</v>
      </c>
      <c r="Q459" s="1"/>
    </row>
    <row r="460" spans="1:17" x14ac:dyDescent="0.25">
      <c r="A460">
        <v>19618</v>
      </c>
      <c r="B460" s="1" t="s">
        <v>31</v>
      </c>
      <c r="C460" s="1" t="s">
        <v>32</v>
      </c>
      <c r="D460" s="2">
        <v>70000</v>
      </c>
      <c r="E460" s="2" t="str">
        <f>IF(bike_buyers[[#This Row],[Income]]&lt;40000,"Under 40K", IF(bike_buyers[[#This Row],[Income]]&lt;60000,"40K-59K", IF(bike_buyers[[#This Row],[Income]]&lt;80000,"60K-79K", IF(bike_buyers[[#This Row],[Income]]&lt;100000,"80K-99K","100K+"))))</f>
        <v>60K-79K</v>
      </c>
      <c r="F460">
        <v>5</v>
      </c>
      <c r="G460" s="1" t="s">
        <v>18</v>
      </c>
      <c r="H460" s="1" t="s">
        <v>13</v>
      </c>
      <c r="I460" s="1" t="s">
        <v>14</v>
      </c>
      <c r="J460">
        <v>2</v>
      </c>
      <c r="K460" s="1" t="s">
        <v>15</v>
      </c>
      <c r="L460" s="1" t="s">
        <v>23</v>
      </c>
      <c r="M460">
        <v>44</v>
      </c>
      <c r="N460" s="1" t="str" cm="1">
        <f t="array" ref="N460">_xlfn.IFS(M460&lt;40, " Adult", M460&lt;60, "Middle Age", M460&gt;=60, "Older Adult")</f>
        <v>Middle Age</v>
      </c>
      <c r="O460" s="1" t="s">
        <v>17</v>
      </c>
      <c r="P460" s="1" t="b">
        <f>IF(O460="Yes", 1)</f>
        <v>0</v>
      </c>
      <c r="Q460" s="1"/>
    </row>
    <row r="461" spans="1:17" x14ac:dyDescent="0.25">
      <c r="A461">
        <v>11061</v>
      </c>
      <c r="B461" s="1" t="s">
        <v>31</v>
      </c>
      <c r="C461" s="1" t="s">
        <v>32</v>
      </c>
      <c r="D461" s="2">
        <v>70000</v>
      </c>
      <c r="E461" s="2" t="str">
        <f>IF(bike_buyers[[#This Row],[Income]]&lt;40000,"Under 40K", IF(bike_buyers[[#This Row],[Income]]&lt;60000,"40K-59K", IF(bike_buyers[[#This Row],[Income]]&lt;80000,"60K-79K", IF(bike_buyers[[#This Row],[Income]]&lt;100000,"80K-99K","100K+"))))</f>
        <v>60K-79K</v>
      </c>
      <c r="F461">
        <v>2</v>
      </c>
      <c r="G461" s="1" t="s">
        <v>18</v>
      </c>
      <c r="H461" s="1" t="s">
        <v>13</v>
      </c>
      <c r="I461" s="1" t="s">
        <v>14</v>
      </c>
      <c r="J461">
        <v>2</v>
      </c>
      <c r="K461" s="1" t="s">
        <v>22</v>
      </c>
      <c r="L461" s="1" t="s">
        <v>23</v>
      </c>
      <c r="M461">
        <v>52</v>
      </c>
      <c r="N461" s="1" t="str" cm="1">
        <f t="array" ref="N461">_xlfn.IFS(M461&lt;40, " Adult", M461&lt;60, "Middle Age", M461&gt;=60, "Older Adult")</f>
        <v>Middle Age</v>
      </c>
      <c r="O461" s="1" t="s">
        <v>14</v>
      </c>
      <c r="P461" s="1">
        <f>IF(O461="Yes", 1)</f>
        <v>1</v>
      </c>
      <c r="Q461" s="1"/>
    </row>
    <row r="462" spans="1:17" x14ac:dyDescent="0.25">
      <c r="A462">
        <v>26765</v>
      </c>
      <c r="B462" s="1" t="s">
        <v>34</v>
      </c>
      <c r="C462" s="1" t="s">
        <v>33</v>
      </c>
      <c r="D462" s="2">
        <v>70000</v>
      </c>
      <c r="E462" s="2" t="str">
        <f>IF(bike_buyers[[#This Row],[Income]]&lt;40000,"Under 40K", IF(bike_buyers[[#This Row],[Income]]&lt;60000,"40K-59K", IF(bike_buyers[[#This Row],[Income]]&lt;80000,"60K-79K", IF(bike_buyers[[#This Row],[Income]]&lt;100000,"80K-99K","100K+"))))</f>
        <v>60K-79K</v>
      </c>
      <c r="F462">
        <v>5</v>
      </c>
      <c r="G462" s="1" t="s">
        <v>18</v>
      </c>
      <c r="H462" s="1" t="s">
        <v>13</v>
      </c>
      <c r="I462" s="1" t="s">
        <v>14</v>
      </c>
      <c r="J462">
        <v>2</v>
      </c>
      <c r="K462" s="1" t="s">
        <v>22</v>
      </c>
      <c r="L462" s="1" t="s">
        <v>23</v>
      </c>
      <c r="M462">
        <v>45</v>
      </c>
      <c r="N462" s="1" t="str" cm="1">
        <f t="array" ref="N462">_xlfn.IFS(M462&lt;40, " Adult", M462&lt;60, "Middle Age", M462&gt;=60, "Older Adult")</f>
        <v>Middle Age</v>
      </c>
      <c r="O462" s="1" t="s">
        <v>17</v>
      </c>
      <c r="P462" s="1" t="b">
        <f>IF(O462="Yes", 1)</f>
        <v>0</v>
      </c>
      <c r="Q462" s="1"/>
    </row>
    <row r="463" spans="1:17" x14ac:dyDescent="0.25">
      <c r="A463">
        <v>28323</v>
      </c>
      <c r="B463" s="1" t="s">
        <v>34</v>
      </c>
      <c r="C463" s="1" t="s">
        <v>32</v>
      </c>
      <c r="D463" s="2">
        <v>70000</v>
      </c>
      <c r="E463" s="2" t="str">
        <f>IF(bike_buyers[[#This Row],[Income]]&lt;40000,"Under 40K", IF(bike_buyers[[#This Row],[Income]]&lt;60000,"40K-59K", IF(bike_buyers[[#This Row],[Income]]&lt;80000,"60K-79K", IF(bike_buyers[[#This Row],[Income]]&lt;100000,"80K-99K","100K+"))))</f>
        <v>60K-79K</v>
      </c>
      <c r="F463">
        <v>0</v>
      </c>
      <c r="G463" s="1" t="s">
        <v>12</v>
      </c>
      <c r="H463" s="1" t="s">
        <v>20</v>
      </c>
      <c r="I463" s="1" t="s">
        <v>17</v>
      </c>
      <c r="J463">
        <v>2</v>
      </c>
      <c r="K463" s="1" t="s">
        <v>22</v>
      </c>
      <c r="L463" s="1" t="s">
        <v>23</v>
      </c>
      <c r="M463">
        <v>43</v>
      </c>
      <c r="N463" s="1" t="str" cm="1">
        <f t="array" ref="N463">_xlfn.IFS(M463&lt;40, " Adult", M463&lt;60, "Middle Age", M463&gt;=60, "Older Adult")</f>
        <v>Middle Age</v>
      </c>
      <c r="O463" s="1" t="s">
        <v>14</v>
      </c>
      <c r="P463" s="1">
        <f>IF(O463="Yes", 1)</f>
        <v>1</v>
      </c>
      <c r="Q463" s="1"/>
    </row>
    <row r="464" spans="1:17" x14ac:dyDescent="0.25">
      <c r="A464">
        <v>21974</v>
      </c>
      <c r="B464" s="1" t="s">
        <v>34</v>
      </c>
      <c r="C464" s="1" t="s">
        <v>33</v>
      </c>
      <c r="D464" s="2">
        <v>70000</v>
      </c>
      <c r="E464" s="2" t="str">
        <f>IF(bike_buyers[[#This Row],[Income]]&lt;40000,"Under 40K", IF(bike_buyers[[#This Row],[Income]]&lt;60000,"40K-59K", IF(bike_buyers[[#This Row],[Income]]&lt;80000,"60K-79K", IF(bike_buyers[[#This Row],[Income]]&lt;100000,"80K-99K","100K+"))))</f>
        <v>60K-79K</v>
      </c>
      <c r="F464">
        <v>0</v>
      </c>
      <c r="G464" s="1" t="s">
        <v>12</v>
      </c>
      <c r="H464" s="1" t="s">
        <v>20</v>
      </c>
      <c r="I464" s="1" t="s">
        <v>14</v>
      </c>
      <c r="J464">
        <v>1</v>
      </c>
      <c r="K464" s="1" t="s">
        <v>22</v>
      </c>
      <c r="L464" s="1" t="s">
        <v>23</v>
      </c>
      <c r="M464">
        <v>42</v>
      </c>
      <c r="N464" s="1" t="str" cm="1">
        <f t="array" ref="N464">_xlfn.IFS(M464&lt;40, " Adult", M464&lt;60, "Middle Age", M464&gt;=60, "Older Adult")</f>
        <v>Middle Age</v>
      </c>
      <c r="O464" s="1" t="s">
        <v>14</v>
      </c>
      <c r="P464" s="1">
        <f>IF(O464="Yes", 1)</f>
        <v>1</v>
      </c>
      <c r="Q464" s="1"/>
    </row>
    <row r="465" spans="1:17" x14ac:dyDescent="0.25">
      <c r="A465">
        <v>14032</v>
      </c>
      <c r="B465" s="1" t="s">
        <v>31</v>
      </c>
      <c r="C465" s="1" t="s">
        <v>32</v>
      </c>
      <c r="D465" s="2">
        <v>70000</v>
      </c>
      <c r="E465" s="2" t="str">
        <f>IF(bike_buyers[[#This Row],[Income]]&lt;40000,"Under 40K", IF(bike_buyers[[#This Row],[Income]]&lt;60000,"40K-59K", IF(bike_buyers[[#This Row],[Income]]&lt;80000,"60K-79K", IF(bike_buyers[[#This Row],[Income]]&lt;100000,"80K-99K","100K+"))))</f>
        <v>60K-79K</v>
      </c>
      <c r="F465">
        <v>2</v>
      </c>
      <c r="G465" s="1" t="s">
        <v>26</v>
      </c>
      <c r="H465" s="1" t="s">
        <v>13</v>
      </c>
      <c r="I465" s="1" t="s">
        <v>17</v>
      </c>
      <c r="J465">
        <v>2</v>
      </c>
      <c r="K465" s="1" t="s">
        <v>25</v>
      </c>
      <c r="L465" s="1" t="s">
        <v>23</v>
      </c>
      <c r="M465">
        <v>50</v>
      </c>
      <c r="N465" s="1" t="str" cm="1">
        <f t="array" ref="N465">_xlfn.IFS(M465&lt;40, " Adult", M465&lt;60, "Middle Age", M465&gt;=60, "Older Adult")</f>
        <v>Middle Age</v>
      </c>
      <c r="O465" s="1" t="s">
        <v>14</v>
      </c>
      <c r="P465" s="1">
        <f>IF(O465="Yes", 1)</f>
        <v>1</v>
      </c>
      <c r="Q465" s="1"/>
    </row>
    <row r="466" spans="1:17" x14ac:dyDescent="0.25">
      <c r="A466">
        <v>11738</v>
      </c>
      <c r="B466" s="1" t="s">
        <v>31</v>
      </c>
      <c r="C466" s="1" t="s">
        <v>32</v>
      </c>
      <c r="D466" s="2">
        <v>60000</v>
      </c>
      <c r="E466" s="2" t="str">
        <f>IF(bike_buyers[[#This Row],[Income]]&lt;40000,"Under 40K", IF(bike_buyers[[#This Row],[Income]]&lt;60000,"40K-59K", IF(bike_buyers[[#This Row],[Income]]&lt;80000,"60K-79K", IF(bike_buyers[[#This Row],[Income]]&lt;100000,"80K-99K","100K+"))))</f>
        <v>60K-79K</v>
      </c>
      <c r="F466">
        <v>4</v>
      </c>
      <c r="G466" s="1" t="s">
        <v>12</v>
      </c>
      <c r="H466" s="1" t="s">
        <v>20</v>
      </c>
      <c r="I466" s="1" t="s">
        <v>14</v>
      </c>
      <c r="J466">
        <v>0</v>
      </c>
      <c r="K466" s="1" t="s">
        <v>21</v>
      </c>
      <c r="L466" s="1" t="s">
        <v>30</v>
      </c>
      <c r="M466">
        <v>46</v>
      </c>
      <c r="N466" s="1" t="str" cm="1">
        <f t="array" ref="N466">_xlfn.IFS(M466&lt;40, " Adult", M466&lt;60, "Middle Age", M466&gt;=60, "Older Adult")</f>
        <v>Middle Age</v>
      </c>
      <c r="O466" s="1" t="s">
        <v>17</v>
      </c>
      <c r="P466" s="1" t="b">
        <f>IF(O466="Yes", 1)</f>
        <v>0</v>
      </c>
      <c r="Q466" s="1"/>
    </row>
    <row r="467" spans="1:17" x14ac:dyDescent="0.25">
      <c r="A467">
        <v>25065</v>
      </c>
      <c r="B467" s="1" t="s">
        <v>31</v>
      </c>
      <c r="C467" s="1" t="s">
        <v>32</v>
      </c>
      <c r="D467" s="2">
        <v>70000</v>
      </c>
      <c r="E467" s="2" t="str">
        <f>IF(bike_buyers[[#This Row],[Income]]&lt;40000,"Under 40K", IF(bike_buyers[[#This Row],[Income]]&lt;60000,"40K-59K", IF(bike_buyers[[#This Row],[Income]]&lt;80000,"60K-79K", IF(bike_buyers[[#This Row],[Income]]&lt;100000,"80K-99K","100K+"))))</f>
        <v>60K-79K</v>
      </c>
      <c r="F467">
        <v>2</v>
      </c>
      <c r="G467" s="1" t="s">
        <v>28</v>
      </c>
      <c r="H467" s="1" t="s">
        <v>13</v>
      </c>
      <c r="I467" s="1" t="s">
        <v>14</v>
      </c>
      <c r="J467">
        <v>2</v>
      </c>
      <c r="K467" s="1" t="s">
        <v>22</v>
      </c>
      <c r="L467" s="1" t="s">
        <v>30</v>
      </c>
      <c r="M467">
        <v>48</v>
      </c>
      <c r="N467" s="1" t="str" cm="1">
        <f t="array" ref="N467">_xlfn.IFS(M467&lt;40, " Adult", M467&lt;60, "Middle Age", M467&gt;=60, "Older Adult")</f>
        <v>Middle Age</v>
      </c>
      <c r="O467" s="1" t="s">
        <v>17</v>
      </c>
      <c r="P467" s="1" t="b">
        <f>IF(O467="Yes", 1)</f>
        <v>0</v>
      </c>
      <c r="Q467" s="1"/>
    </row>
    <row r="468" spans="1:17" x14ac:dyDescent="0.25">
      <c r="A468">
        <v>23707</v>
      </c>
      <c r="B468" s="1" t="s">
        <v>34</v>
      </c>
      <c r="C468" s="1" t="s">
        <v>32</v>
      </c>
      <c r="D468" s="2">
        <v>70000</v>
      </c>
      <c r="E468" s="2" t="str">
        <f>IF(bike_buyers[[#This Row],[Income]]&lt;40000,"Under 40K", IF(bike_buyers[[#This Row],[Income]]&lt;60000,"40K-59K", IF(bike_buyers[[#This Row],[Income]]&lt;80000,"60K-79K", IF(bike_buyers[[#This Row],[Income]]&lt;100000,"80K-99K","100K+"))))</f>
        <v>60K-79K</v>
      </c>
      <c r="F468">
        <v>5</v>
      </c>
      <c r="G468" s="1" t="s">
        <v>12</v>
      </c>
      <c r="H468" s="1" t="s">
        <v>27</v>
      </c>
      <c r="I468" s="1" t="s">
        <v>14</v>
      </c>
      <c r="J468">
        <v>3</v>
      </c>
      <c r="K468" s="1" t="s">
        <v>62</v>
      </c>
      <c r="L468" s="1" t="s">
        <v>30</v>
      </c>
      <c r="M468">
        <v>60</v>
      </c>
      <c r="N468" s="1" t="str" cm="1">
        <f t="array" ref="N468">_xlfn.IFS(M468&lt;40, " Adult", M468&lt;60, "Middle Age", M468&gt;=60, "Older Adult")</f>
        <v>Older Adult</v>
      </c>
      <c r="O468" s="1" t="s">
        <v>14</v>
      </c>
      <c r="P468" s="1">
        <f>IF(O468="Yes", 1)</f>
        <v>1</v>
      </c>
      <c r="Q468" s="1"/>
    </row>
    <row r="469" spans="1:17" x14ac:dyDescent="0.25">
      <c r="A469">
        <v>27650</v>
      </c>
      <c r="B469" s="1" t="s">
        <v>31</v>
      </c>
      <c r="C469" s="1" t="s">
        <v>32</v>
      </c>
      <c r="D469" s="2">
        <v>70000</v>
      </c>
      <c r="E469" s="2" t="str">
        <f>IF(bike_buyers[[#This Row],[Income]]&lt;40000,"Under 40K", IF(bike_buyers[[#This Row],[Income]]&lt;60000,"40K-59K", IF(bike_buyers[[#This Row],[Income]]&lt;80000,"60K-79K", IF(bike_buyers[[#This Row],[Income]]&lt;100000,"80K-99K","100K+"))))</f>
        <v>60K-79K</v>
      </c>
      <c r="F469">
        <v>4</v>
      </c>
      <c r="G469" s="1" t="s">
        <v>26</v>
      </c>
      <c r="H469" s="1" t="s">
        <v>20</v>
      </c>
      <c r="I469" s="1" t="s">
        <v>14</v>
      </c>
      <c r="J469">
        <v>0</v>
      </c>
      <c r="K469" s="1" t="s">
        <v>22</v>
      </c>
      <c r="L469" s="1" t="s">
        <v>30</v>
      </c>
      <c r="M469">
        <v>51</v>
      </c>
      <c r="N469" s="1" t="str" cm="1">
        <f t="array" ref="N469">_xlfn.IFS(M469&lt;40, " Adult", M469&lt;60, "Middle Age", M469&gt;=60, "Older Adult")</f>
        <v>Middle Age</v>
      </c>
      <c r="O469" s="1" t="s">
        <v>17</v>
      </c>
      <c r="P469" s="1" t="b">
        <f>IF(O469="Yes", 1)</f>
        <v>0</v>
      </c>
      <c r="Q469" s="1"/>
    </row>
    <row r="470" spans="1:17" x14ac:dyDescent="0.25">
      <c r="A470">
        <v>24981</v>
      </c>
      <c r="B470" s="1" t="s">
        <v>31</v>
      </c>
      <c r="C470" s="1" t="s">
        <v>32</v>
      </c>
      <c r="D470" s="2">
        <v>60000</v>
      </c>
      <c r="E470" s="2" t="str">
        <f>IF(bike_buyers[[#This Row],[Income]]&lt;40000,"Under 40K", IF(bike_buyers[[#This Row],[Income]]&lt;60000,"40K-59K", IF(bike_buyers[[#This Row],[Income]]&lt;80000,"60K-79K", IF(bike_buyers[[#This Row],[Income]]&lt;100000,"80K-99K","100K+"))))</f>
        <v>60K-79K</v>
      </c>
      <c r="F470">
        <v>2</v>
      </c>
      <c r="G470" s="1" t="s">
        <v>18</v>
      </c>
      <c r="H470" s="1" t="s">
        <v>20</v>
      </c>
      <c r="I470" s="1" t="s">
        <v>14</v>
      </c>
      <c r="J470">
        <v>2</v>
      </c>
      <c r="K470" s="1" t="s">
        <v>62</v>
      </c>
      <c r="L470" s="1" t="s">
        <v>30</v>
      </c>
      <c r="M470">
        <v>56</v>
      </c>
      <c r="N470" s="1" t="str" cm="1">
        <f t="array" ref="N470">_xlfn.IFS(M470&lt;40, " Adult", M470&lt;60, "Middle Age", M470&gt;=60, "Older Adult")</f>
        <v>Middle Age</v>
      </c>
      <c r="O470" s="1" t="s">
        <v>17</v>
      </c>
      <c r="P470" s="1" t="b">
        <f>IF(O470="Yes", 1)</f>
        <v>0</v>
      </c>
      <c r="Q470" s="1"/>
    </row>
    <row r="471" spans="1:17" x14ac:dyDescent="0.25">
      <c r="A471">
        <v>20678</v>
      </c>
      <c r="B471" s="1" t="s">
        <v>34</v>
      </c>
      <c r="C471" s="1" t="s">
        <v>33</v>
      </c>
      <c r="D471" s="2">
        <v>60000</v>
      </c>
      <c r="E471" s="2" t="str">
        <f>IF(bike_buyers[[#This Row],[Income]]&lt;40000,"Under 40K", IF(bike_buyers[[#This Row],[Income]]&lt;60000,"40K-59K", IF(bike_buyers[[#This Row],[Income]]&lt;80000,"60K-79K", IF(bike_buyers[[#This Row],[Income]]&lt;100000,"80K-99K","100K+"))))</f>
        <v>60K-79K</v>
      </c>
      <c r="F471">
        <v>3</v>
      </c>
      <c r="G471" s="1" t="s">
        <v>12</v>
      </c>
      <c r="H471" s="1" t="s">
        <v>13</v>
      </c>
      <c r="I471" s="1" t="s">
        <v>14</v>
      </c>
      <c r="J471">
        <v>1</v>
      </c>
      <c r="K471" s="1" t="s">
        <v>21</v>
      </c>
      <c r="L471" s="1" t="s">
        <v>30</v>
      </c>
      <c r="M471">
        <v>40</v>
      </c>
      <c r="N471" s="1" t="str" cm="1">
        <f t="array" ref="N471">_xlfn.IFS(M471&lt;40, " Adult", M471&lt;60, "Middle Age", M471&gt;=60, "Older Adult")</f>
        <v>Middle Age</v>
      </c>
      <c r="O471" s="1" t="s">
        <v>14</v>
      </c>
      <c r="P471" s="1">
        <f>IF(O471="Yes", 1)</f>
        <v>1</v>
      </c>
      <c r="Q471" s="1"/>
    </row>
    <row r="472" spans="1:17" x14ac:dyDescent="0.25">
      <c r="A472">
        <v>15302</v>
      </c>
      <c r="B472" s="1" t="s">
        <v>34</v>
      </c>
      <c r="C472" s="1" t="s">
        <v>33</v>
      </c>
      <c r="D472" s="2">
        <v>70000</v>
      </c>
      <c r="E472" s="2" t="str">
        <f>IF(bike_buyers[[#This Row],[Income]]&lt;40000,"Under 40K", IF(bike_buyers[[#This Row],[Income]]&lt;60000,"40K-59K", IF(bike_buyers[[#This Row],[Income]]&lt;80000,"60K-79K", IF(bike_buyers[[#This Row],[Income]]&lt;100000,"80K-99K","100K+"))))</f>
        <v>60K-79K</v>
      </c>
      <c r="F472">
        <v>1</v>
      </c>
      <c r="G472" s="1" t="s">
        <v>29</v>
      </c>
      <c r="H472" s="1" t="s">
        <v>20</v>
      </c>
      <c r="I472" s="1" t="s">
        <v>14</v>
      </c>
      <c r="J472">
        <v>0</v>
      </c>
      <c r="K472" s="1" t="s">
        <v>21</v>
      </c>
      <c r="L472" s="1" t="s">
        <v>30</v>
      </c>
      <c r="M472">
        <v>34</v>
      </c>
      <c r="N472" s="1" t="str" cm="1">
        <f t="array" ref="N472">_xlfn.IFS(M472&lt;40, " Adult", M472&lt;60, "Middle Age", M472&gt;=60, "Older Adult")</f>
        <v xml:space="preserve"> Adult</v>
      </c>
      <c r="O472" s="1" t="s">
        <v>14</v>
      </c>
      <c r="P472" s="1">
        <f>IF(O472="Yes", 1)</f>
        <v>1</v>
      </c>
      <c r="Q472" s="1"/>
    </row>
    <row r="473" spans="1:17" x14ac:dyDescent="0.25">
      <c r="A473">
        <v>15559</v>
      </c>
      <c r="B473" s="1" t="s">
        <v>31</v>
      </c>
      <c r="C473" s="1" t="s">
        <v>32</v>
      </c>
      <c r="D473" s="2">
        <v>60000</v>
      </c>
      <c r="E473" s="2" t="str">
        <f>IF(bike_buyers[[#This Row],[Income]]&lt;40000,"Under 40K", IF(bike_buyers[[#This Row],[Income]]&lt;60000,"40K-59K", IF(bike_buyers[[#This Row],[Income]]&lt;80000,"60K-79K", IF(bike_buyers[[#This Row],[Income]]&lt;100000,"80K-99K","100K+"))))</f>
        <v>60K-79K</v>
      </c>
      <c r="F473">
        <v>5</v>
      </c>
      <c r="G473" s="1" t="s">
        <v>12</v>
      </c>
      <c r="H473" s="1" t="s">
        <v>20</v>
      </c>
      <c r="I473" s="1" t="s">
        <v>14</v>
      </c>
      <c r="J473">
        <v>1</v>
      </c>
      <c r="K473" s="1" t="s">
        <v>21</v>
      </c>
      <c r="L473" s="1" t="s">
        <v>30</v>
      </c>
      <c r="M473">
        <v>47</v>
      </c>
      <c r="N473" s="1" t="str" cm="1">
        <f t="array" ref="N473">_xlfn.IFS(M473&lt;40, " Adult", M473&lt;60, "Middle Age", M473&gt;=60, "Older Adult")</f>
        <v>Middle Age</v>
      </c>
      <c r="O473" s="1" t="s">
        <v>17</v>
      </c>
      <c r="P473" s="1" t="b">
        <f>IF(O473="Yes", 1)</f>
        <v>0</v>
      </c>
      <c r="Q473" s="1"/>
    </row>
    <row r="474" spans="1:17" x14ac:dyDescent="0.25">
      <c r="A474">
        <v>25405</v>
      </c>
      <c r="B474" s="1" t="s">
        <v>31</v>
      </c>
      <c r="C474" s="1" t="s">
        <v>32</v>
      </c>
      <c r="D474" s="2">
        <v>70000</v>
      </c>
      <c r="E474" s="2" t="str">
        <f>IF(bike_buyers[[#This Row],[Income]]&lt;40000,"Under 40K", IF(bike_buyers[[#This Row],[Income]]&lt;60000,"40K-59K", IF(bike_buyers[[#This Row],[Income]]&lt;80000,"60K-79K", IF(bike_buyers[[#This Row],[Income]]&lt;100000,"80K-99K","100K+"))))</f>
        <v>60K-79K</v>
      </c>
      <c r="F474">
        <v>2</v>
      </c>
      <c r="G474" s="1" t="s">
        <v>12</v>
      </c>
      <c r="H474" s="1" t="s">
        <v>13</v>
      </c>
      <c r="I474" s="1" t="s">
        <v>14</v>
      </c>
      <c r="J474">
        <v>1</v>
      </c>
      <c r="K474" s="1" t="s">
        <v>21</v>
      </c>
      <c r="L474" s="1" t="s">
        <v>30</v>
      </c>
      <c r="M474">
        <v>38</v>
      </c>
      <c r="N474" s="1" t="str" cm="1">
        <f t="array" ref="N474">_xlfn.IFS(M474&lt;40, " Adult", M474&lt;60, "Middle Age", M474&gt;=60, "Older Adult")</f>
        <v xml:space="preserve"> Adult</v>
      </c>
      <c r="O474" s="1" t="s">
        <v>14</v>
      </c>
      <c r="P474" s="1">
        <f>IF(O474="Yes", 1)</f>
        <v>1</v>
      </c>
      <c r="Q474" s="1"/>
    </row>
    <row r="475" spans="1:17" x14ac:dyDescent="0.25">
      <c r="A475">
        <v>25074</v>
      </c>
      <c r="B475" s="1" t="s">
        <v>31</v>
      </c>
      <c r="C475" s="1" t="s">
        <v>33</v>
      </c>
      <c r="D475" s="2">
        <v>70000</v>
      </c>
      <c r="E475" s="2" t="str">
        <f>IF(bike_buyers[[#This Row],[Income]]&lt;40000,"Under 40K", IF(bike_buyers[[#This Row],[Income]]&lt;60000,"40K-59K", IF(bike_buyers[[#This Row],[Income]]&lt;80000,"60K-79K", IF(bike_buyers[[#This Row],[Income]]&lt;100000,"80K-99K","100K+"))))</f>
        <v>60K-79K</v>
      </c>
      <c r="F475">
        <v>4</v>
      </c>
      <c r="G475" s="1" t="s">
        <v>12</v>
      </c>
      <c r="H475" s="1" t="s">
        <v>20</v>
      </c>
      <c r="I475" s="1" t="s">
        <v>14</v>
      </c>
      <c r="J475">
        <v>2</v>
      </c>
      <c r="K475" s="1" t="s">
        <v>21</v>
      </c>
      <c r="L475" s="1" t="s">
        <v>30</v>
      </c>
      <c r="M475">
        <v>42</v>
      </c>
      <c r="N475" s="1" t="str" cm="1">
        <f t="array" ref="N475">_xlfn.IFS(M475&lt;40, " Adult", M475&lt;60, "Middle Age", M475&gt;=60, "Older Adult")</f>
        <v>Middle Age</v>
      </c>
      <c r="O475" s="1" t="s">
        <v>14</v>
      </c>
      <c r="P475" s="1">
        <f>IF(O475="Yes", 1)</f>
        <v>1</v>
      </c>
      <c r="Q475" s="1"/>
    </row>
    <row r="476" spans="1:17" x14ac:dyDescent="0.25">
      <c r="A476">
        <v>16337</v>
      </c>
      <c r="B476" s="1" t="s">
        <v>31</v>
      </c>
      <c r="C476" s="1" t="s">
        <v>32</v>
      </c>
      <c r="D476" s="2">
        <v>60000</v>
      </c>
      <c r="E476" s="2" t="str">
        <f>IF(bike_buyers[[#This Row],[Income]]&lt;40000,"Under 40K", IF(bike_buyers[[#This Row],[Income]]&lt;60000,"40K-59K", IF(bike_buyers[[#This Row],[Income]]&lt;80000,"60K-79K", IF(bike_buyers[[#This Row],[Income]]&lt;100000,"80K-99K","100K+"))))</f>
        <v>60K-79K</v>
      </c>
      <c r="F476">
        <v>0</v>
      </c>
      <c r="G476" s="1" t="s">
        <v>18</v>
      </c>
      <c r="H476" s="1" t="s">
        <v>13</v>
      </c>
      <c r="I476" s="1" t="s">
        <v>17</v>
      </c>
      <c r="J476">
        <v>2</v>
      </c>
      <c r="K476" s="1" t="s">
        <v>25</v>
      </c>
      <c r="L476" s="1" t="s">
        <v>30</v>
      </c>
      <c r="M476">
        <v>29</v>
      </c>
      <c r="N476" s="1" t="str" cm="1">
        <f t="array" ref="N476">_xlfn.IFS(M476&lt;40, " Adult", M476&lt;60, "Middle Age", M476&gt;=60, "Older Adult")</f>
        <v xml:space="preserve"> Adult</v>
      </c>
      <c r="O476" s="1" t="s">
        <v>17</v>
      </c>
      <c r="P476" s="1" t="b">
        <f>IF(O476="Yes", 1)</f>
        <v>0</v>
      </c>
      <c r="Q476" s="1"/>
    </row>
    <row r="477" spans="1:17" x14ac:dyDescent="0.25">
      <c r="A477">
        <v>18613</v>
      </c>
      <c r="B477" s="1" t="s">
        <v>34</v>
      </c>
      <c r="C477" s="1" t="s">
        <v>32</v>
      </c>
      <c r="D477" s="2">
        <v>70000</v>
      </c>
      <c r="E477" s="2" t="str">
        <f>IF(bike_buyers[[#This Row],[Income]]&lt;40000,"Under 40K", IF(bike_buyers[[#This Row],[Income]]&lt;60000,"40K-59K", IF(bike_buyers[[#This Row],[Income]]&lt;80000,"60K-79K", IF(bike_buyers[[#This Row],[Income]]&lt;100000,"80K-99K","100K+"))))</f>
        <v>60K-79K</v>
      </c>
      <c r="F477">
        <v>0</v>
      </c>
      <c r="G477" s="1" t="s">
        <v>12</v>
      </c>
      <c r="H477" s="1" t="s">
        <v>20</v>
      </c>
      <c r="I477" s="1" t="s">
        <v>17</v>
      </c>
      <c r="J477">
        <v>1</v>
      </c>
      <c r="K477" s="1" t="s">
        <v>21</v>
      </c>
      <c r="L477" s="1" t="s">
        <v>30</v>
      </c>
      <c r="M477">
        <v>37</v>
      </c>
      <c r="N477" s="1" t="str" cm="1">
        <f t="array" ref="N477">_xlfn.IFS(M477&lt;40, " Adult", M477&lt;60, "Middle Age", M477&gt;=60, "Older Adult")</f>
        <v xml:space="preserve"> Adult</v>
      </c>
      <c r="O477" s="1" t="s">
        <v>14</v>
      </c>
      <c r="P477" s="1">
        <f>IF(O477="Yes", 1)</f>
        <v>1</v>
      </c>
      <c r="Q477" s="1"/>
    </row>
    <row r="478" spans="1:17" x14ac:dyDescent="0.25">
      <c r="A478">
        <v>18052</v>
      </c>
      <c r="B478" s="1" t="s">
        <v>31</v>
      </c>
      <c r="C478" s="1" t="s">
        <v>33</v>
      </c>
      <c r="D478" s="2">
        <v>60000</v>
      </c>
      <c r="E478" s="2" t="str">
        <f>IF(bike_buyers[[#This Row],[Income]]&lt;40000,"Under 40K", IF(bike_buyers[[#This Row],[Income]]&lt;60000,"40K-59K", IF(bike_buyers[[#This Row],[Income]]&lt;80000,"60K-79K", IF(bike_buyers[[#This Row],[Income]]&lt;100000,"80K-99K","100K+"))))</f>
        <v>60K-79K</v>
      </c>
      <c r="F478">
        <v>1</v>
      </c>
      <c r="G478" s="1" t="s">
        <v>18</v>
      </c>
      <c r="H478" s="1" t="s">
        <v>13</v>
      </c>
      <c r="I478" s="1" t="s">
        <v>14</v>
      </c>
      <c r="J478">
        <v>1</v>
      </c>
      <c r="K478" s="1" t="s">
        <v>15</v>
      </c>
      <c r="L478" s="1" t="s">
        <v>30</v>
      </c>
      <c r="M478">
        <v>45</v>
      </c>
      <c r="N478" s="1" t="str" cm="1">
        <f t="array" ref="N478">_xlfn.IFS(M478&lt;40, " Adult", M478&lt;60, "Middle Age", M478&gt;=60, "Older Adult")</f>
        <v>Middle Age</v>
      </c>
      <c r="O478" s="1" t="s">
        <v>14</v>
      </c>
      <c r="P478" s="1">
        <f>IF(O478="Yes", 1)</f>
        <v>1</v>
      </c>
      <c r="Q478" s="1"/>
    </row>
    <row r="479" spans="1:17" x14ac:dyDescent="0.25">
      <c r="A479">
        <v>13353</v>
      </c>
      <c r="B479" s="1" t="s">
        <v>34</v>
      </c>
      <c r="C479" s="1" t="s">
        <v>33</v>
      </c>
      <c r="D479" s="2">
        <v>60000</v>
      </c>
      <c r="E479" s="2" t="str">
        <f>IF(bike_buyers[[#This Row],[Income]]&lt;40000,"Under 40K", IF(bike_buyers[[#This Row],[Income]]&lt;60000,"40K-59K", IF(bike_buyers[[#This Row],[Income]]&lt;80000,"60K-79K", IF(bike_buyers[[#This Row],[Income]]&lt;100000,"80K-99K","100K+"))))</f>
        <v>60K-79K</v>
      </c>
      <c r="F479">
        <v>4</v>
      </c>
      <c r="G479" s="1" t="s">
        <v>29</v>
      </c>
      <c r="H479" s="1" t="s">
        <v>27</v>
      </c>
      <c r="I479" s="1" t="s">
        <v>14</v>
      </c>
      <c r="J479">
        <v>2</v>
      </c>
      <c r="K479" s="1" t="s">
        <v>62</v>
      </c>
      <c r="L479" s="1" t="s">
        <v>30</v>
      </c>
      <c r="M479">
        <v>61</v>
      </c>
      <c r="N479" s="1" t="str" cm="1">
        <f t="array" ref="N479">_xlfn.IFS(M479&lt;40, " Adult", M479&lt;60, "Middle Age", M479&gt;=60, "Older Adult")</f>
        <v>Older Adult</v>
      </c>
      <c r="O479" s="1" t="s">
        <v>14</v>
      </c>
      <c r="P479" s="1">
        <f>IF(O479="Yes", 1)</f>
        <v>1</v>
      </c>
      <c r="Q479" s="1"/>
    </row>
    <row r="480" spans="1:17" x14ac:dyDescent="0.25">
      <c r="A480">
        <v>16154</v>
      </c>
      <c r="B480" s="1" t="s">
        <v>31</v>
      </c>
      <c r="C480" s="1" t="s">
        <v>33</v>
      </c>
      <c r="D480" s="2">
        <v>70000</v>
      </c>
      <c r="E480" s="2" t="str">
        <f>IF(bike_buyers[[#This Row],[Income]]&lt;40000,"Under 40K", IF(bike_buyers[[#This Row],[Income]]&lt;60000,"40K-59K", IF(bike_buyers[[#This Row],[Income]]&lt;80000,"60K-79K", IF(bike_buyers[[#This Row],[Income]]&lt;100000,"80K-99K","100K+"))))</f>
        <v>60K-79K</v>
      </c>
      <c r="F480">
        <v>5</v>
      </c>
      <c r="G480" s="1" t="s">
        <v>12</v>
      </c>
      <c r="H480" s="1" t="s">
        <v>20</v>
      </c>
      <c r="I480" s="1" t="s">
        <v>14</v>
      </c>
      <c r="J480">
        <v>2</v>
      </c>
      <c r="K480" s="1" t="s">
        <v>21</v>
      </c>
      <c r="L480" s="1" t="s">
        <v>30</v>
      </c>
      <c r="M480">
        <v>47</v>
      </c>
      <c r="N480" s="1" t="str" cm="1">
        <f t="array" ref="N480">_xlfn.IFS(M480&lt;40, " Adult", M480&lt;60, "Middle Age", M480&gt;=60, "Older Adult")</f>
        <v>Middle Age</v>
      </c>
      <c r="O480" s="1" t="s">
        <v>17</v>
      </c>
      <c r="P480" s="1" t="b">
        <f>IF(O480="Yes", 1)</f>
        <v>0</v>
      </c>
      <c r="Q480" s="1"/>
    </row>
    <row r="481" spans="1:17" x14ac:dyDescent="0.25">
      <c r="A481">
        <v>22219</v>
      </c>
      <c r="B481" s="1" t="s">
        <v>31</v>
      </c>
      <c r="C481" s="1" t="s">
        <v>33</v>
      </c>
      <c r="D481" s="2">
        <v>60000</v>
      </c>
      <c r="E481" s="2" t="str">
        <f>IF(bike_buyers[[#This Row],[Income]]&lt;40000,"Under 40K", IF(bike_buyers[[#This Row],[Income]]&lt;60000,"40K-59K", IF(bike_buyers[[#This Row],[Income]]&lt;80000,"60K-79K", IF(bike_buyers[[#This Row],[Income]]&lt;100000,"80K-99K","100K+"))))</f>
        <v>60K-79K</v>
      </c>
      <c r="F481">
        <v>2</v>
      </c>
      <c r="G481" s="1" t="s">
        <v>26</v>
      </c>
      <c r="H481" s="1" t="s">
        <v>20</v>
      </c>
      <c r="I481" s="1" t="s">
        <v>14</v>
      </c>
      <c r="J481">
        <v>2</v>
      </c>
      <c r="K481" s="1" t="s">
        <v>22</v>
      </c>
      <c r="L481" s="1" t="s">
        <v>30</v>
      </c>
      <c r="M481">
        <v>49</v>
      </c>
      <c r="N481" s="1" t="str" cm="1">
        <f t="array" ref="N481">_xlfn.IFS(M481&lt;40, " Adult", M481&lt;60, "Middle Age", M481&gt;=60, "Older Adult")</f>
        <v>Middle Age</v>
      </c>
      <c r="O481" s="1" t="s">
        <v>17</v>
      </c>
      <c r="P481" s="1" t="b">
        <f>IF(O481="Yes", 1)</f>
        <v>0</v>
      </c>
      <c r="Q481" s="1"/>
    </row>
    <row r="482" spans="1:17" x14ac:dyDescent="0.25">
      <c r="A482">
        <v>17269</v>
      </c>
      <c r="B482" s="1" t="s">
        <v>34</v>
      </c>
      <c r="C482" s="1" t="s">
        <v>32</v>
      </c>
      <c r="D482" s="2">
        <v>60000</v>
      </c>
      <c r="E482" s="2" t="str">
        <f>IF(bike_buyers[[#This Row],[Income]]&lt;40000,"Under 40K", IF(bike_buyers[[#This Row],[Income]]&lt;60000,"40K-59K", IF(bike_buyers[[#This Row],[Income]]&lt;80000,"60K-79K", IF(bike_buyers[[#This Row],[Income]]&lt;100000,"80K-99K","100K+"))))</f>
        <v>60K-79K</v>
      </c>
      <c r="F482">
        <v>3</v>
      </c>
      <c r="G482" s="1" t="s">
        <v>12</v>
      </c>
      <c r="H482" s="1" t="s">
        <v>20</v>
      </c>
      <c r="I482" s="1" t="s">
        <v>17</v>
      </c>
      <c r="J482">
        <v>0</v>
      </c>
      <c r="K482" s="1" t="s">
        <v>15</v>
      </c>
      <c r="L482" s="1" t="s">
        <v>30</v>
      </c>
      <c r="M482">
        <v>47</v>
      </c>
      <c r="N482" s="1" t="str" cm="1">
        <f t="array" ref="N482">_xlfn.IFS(M482&lt;40, " Adult", M482&lt;60, "Middle Age", M482&gt;=60, "Older Adult")</f>
        <v>Middle Age</v>
      </c>
      <c r="O482" s="1" t="s">
        <v>14</v>
      </c>
      <c r="P482" s="1">
        <f>IF(O482="Yes", 1)</f>
        <v>1</v>
      </c>
      <c r="Q482" s="1"/>
    </row>
    <row r="483" spans="1:17" x14ac:dyDescent="0.25">
      <c r="A483">
        <v>19413</v>
      </c>
      <c r="B483" s="1" t="s">
        <v>34</v>
      </c>
      <c r="C483" s="1" t="s">
        <v>32</v>
      </c>
      <c r="D483" s="2">
        <v>60000</v>
      </c>
      <c r="E483" s="2" t="str">
        <f>IF(bike_buyers[[#This Row],[Income]]&lt;40000,"Under 40K", IF(bike_buyers[[#This Row],[Income]]&lt;60000,"40K-59K", IF(bike_buyers[[#This Row],[Income]]&lt;80000,"60K-79K", IF(bike_buyers[[#This Row],[Income]]&lt;100000,"80K-99K","100K+"))))</f>
        <v>60K-79K</v>
      </c>
      <c r="F483">
        <v>3</v>
      </c>
      <c r="G483" s="1" t="s">
        <v>12</v>
      </c>
      <c r="H483" s="1" t="s">
        <v>20</v>
      </c>
      <c r="I483" s="1" t="s">
        <v>17</v>
      </c>
      <c r="J483">
        <v>1</v>
      </c>
      <c r="K483" s="1" t="s">
        <v>15</v>
      </c>
      <c r="L483" s="1" t="s">
        <v>30</v>
      </c>
      <c r="M483">
        <v>47</v>
      </c>
      <c r="N483" s="1" t="str" cm="1">
        <f t="array" ref="N483">_xlfn.IFS(M483&lt;40, " Adult", M483&lt;60, "Middle Age", M483&gt;=60, "Older Adult")</f>
        <v>Middle Age</v>
      </c>
      <c r="O483" s="1" t="s">
        <v>14</v>
      </c>
      <c r="P483" s="1">
        <f>IF(O483="Yes", 1)</f>
        <v>1</v>
      </c>
      <c r="Q483" s="1"/>
    </row>
    <row r="484" spans="1:17" x14ac:dyDescent="0.25">
      <c r="A484">
        <v>16791</v>
      </c>
      <c r="B484" s="1" t="s">
        <v>34</v>
      </c>
      <c r="C484" s="1" t="s">
        <v>32</v>
      </c>
      <c r="D484" s="2">
        <v>60000</v>
      </c>
      <c r="E484" s="2" t="str">
        <f>IF(bike_buyers[[#This Row],[Income]]&lt;40000,"Under 40K", IF(bike_buyers[[#This Row],[Income]]&lt;60000,"40K-59K", IF(bike_buyers[[#This Row],[Income]]&lt;80000,"60K-79K", IF(bike_buyers[[#This Row],[Income]]&lt;100000,"80K-99K","100K+"))))</f>
        <v>60K-79K</v>
      </c>
      <c r="F484">
        <v>5</v>
      </c>
      <c r="G484" s="1" t="s">
        <v>12</v>
      </c>
      <c r="H484" s="1" t="s">
        <v>27</v>
      </c>
      <c r="I484" s="1" t="s">
        <v>14</v>
      </c>
      <c r="J484">
        <v>3</v>
      </c>
      <c r="K484" s="1" t="s">
        <v>62</v>
      </c>
      <c r="L484" s="1" t="s">
        <v>30</v>
      </c>
      <c r="M484">
        <v>59</v>
      </c>
      <c r="N484" s="1" t="str" cm="1">
        <f t="array" ref="N484">_xlfn.IFS(M484&lt;40, " Adult", M484&lt;60, "Middle Age", M484&gt;=60, "Older Adult")</f>
        <v>Middle Age</v>
      </c>
      <c r="O484" s="1" t="s">
        <v>14</v>
      </c>
      <c r="P484" s="1">
        <f>IF(O484="Yes", 1)</f>
        <v>1</v>
      </c>
      <c r="Q484" s="1"/>
    </row>
    <row r="485" spans="1:17" x14ac:dyDescent="0.25">
      <c r="A485">
        <v>13233</v>
      </c>
      <c r="B485" s="1" t="s">
        <v>31</v>
      </c>
      <c r="C485" s="1" t="s">
        <v>32</v>
      </c>
      <c r="D485" s="2">
        <v>60000</v>
      </c>
      <c r="E485" s="2" t="str">
        <f>IF(bike_buyers[[#This Row],[Income]]&lt;40000,"Under 40K", IF(bike_buyers[[#This Row],[Income]]&lt;60000,"40K-59K", IF(bike_buyers[[#This Row],[Income]]&lt;80000,"60K-79K", IF(bike_buyers[[#This Row],[Income]]&lt;100000,"80K-99K","100K+"))))</f>
        <v>60K-79K</v>
      </c>
      <c r="F485">
        <v>2</v>
      </c>
      <c r="G485" s="1" t="s">
        <v>18</v>
      </c>
      <c r="H485" s="1" t="s">
        <v>20</v>
      </c>
      <c r="I485" s="1" t="s">
        <v>14</v>
      </c>
      <c r="J485">
        <v>1</v>
      </c>
      <c r="K485" s="1" t="s">
        <v>62</v>
      </c>
      <c r="L485" s="1" t="s">
        <v>30</v>
      </c>
      <c r="M485">
        <v>57</v>
      </c>
      <c r="N485" s="1" t="str" cm="1">
        <f t="array" ref="N485">_xlfn.IFS(M485&lt;40, " Adult", M485&lt;60, "Middle Age", M485&gt;=60, "Older Adult")</f>
        <v>Middle Age</v>
      </c>
      <c r="O485" s="1" t="s">
        <v>14</v>
      </c>
      <c r="P485" s="1">
        <f>IF(O485="Yes", 1)</f>
        <v>1</v>
      </c>
      <c r="Q485" s="1"/>
    </row>
    <row r="486" spans="1:17" x14ac:dyDescent="0.25">
      <c r="A486">
        <v>25909</v>
      </c>
      <c r="B486" s="1" t="s">
        <v>31</v>
      </c>
      <c r="C486" s="1" t="s">
        <v>32</v>
      </c>
      <c r="D486" s="2">
        <v>60000</v>
      </c>
      <c r="E486" s="2" t="str">
        <f>IF(bike_buyers[[#This Row],[Income]]&lt;40000,"Under 40K", IF(bike_buyers[[#This Row],[Income]]&lt;60000,"40K-59K", IF(bike_buyers[[#This Row],[Income]]&lt;80000,"60K-79K", IF(bike_buyers[[#This Row],[Income]]&lt;100000,"80K-99K","100K+"))))</f>
        <v>60K-79K</v>
      </c>
      <c r="F486">
        <v>0</v>
      </c>
      <c r="G486" s="1" t="s">
        <v>18</v>
      </c>
      <c r="H486" s="1" t="s">
        <v>13</v>
      </c>
      <c r="I486" s="1" t="s">
        <v>14</v>
      </c>
      <c r="J486">
        <v>1</v>
      </c>
      <c r="K486" s="1" t="s">
        <v>22</v>
      </c>
      <c r="L486" s="1" t="s">
        <v>30</v>
      </c>
      <c r="M486">
        <v>27</v>
      </c>
      <c r="N486" s="1" t="str" cm="1">
        <f t="array" ref="N486">_xlfn.IFS(M486&lt;40, " Adult", M486&lt;60, "Middle Age", M486&gt;=60, "Older Adult")</f>
        <v xml:space="preserve"> Adult</v>
      </c>
      <c r="O486" s="1" t="s">
        <v>14</v>
      </c>
      <c r="P486" s="1">
        <f>IF(O486="Yes", 1)</f>
        <v>1</v>
      </c>
      <c r="Q486" s="1"/>
    </row>
    <row r="487" spans="1:17" x14ac:dyDescent="0.25">
      <c r="A487">
        <v>29143</v>
      </c>
      <c r="B487" s="1" t="s">
        <v>34</v>
      </c>
      <c r="C487" s="1" t="s">
        <v>33</v>
      </c>
      <c r="D487" s="2">
        <v>60000</v>
      </c>
      <c r="E487" s="2" t="str">
        <f>IF(bike_buyers[[#This Row],[Income]]&lt;40000,"Under 40K", IF(bike_buyers[[#This Row],[Income]]&lt;60000,"40K-59K", IF(bike_buyers[[#This Row],[Income]]&lt;80000,"60K-79K", IF(bike_buyers[[#This Row],[Income]]&lt;100000,"80K-99K","100K+"))))</f>
        <v>60K-79K</v>
      </c>
      <c r="F487">
        <v>1</v>
      </c>
      <c r="G487" s="1" t="s">
        <v>12</v>
      </c>
      <c r="H487" s="1" t="s">
        <v>20</v>
      </c>
      <c r="I487" s="1" t="s">
        <v>17</v>
      </c>
      <c r="J487">
        <v>1</v>
      </c>
      <c r="K487" s="1" t="s">
        <v>15</v>
      </c>
      <c r="L487" s="1" t="s">
        <v>30</v>
      </c>
      <c r="M487">
        <v>44</v>
      </c>
      <c r="N487" s="1" t="str" cm="1">
        <f t="array" ref="N487">_xlfn.IFS(M487&lt;40, " Adult", M487&lt;60, "Middle Age", M487&gt;=60, "Older Adult")</f>
        <v>Middle Age</v>
      </c>
      <c r="O487" s="1" t="s">
        <v>14</v>
      </c>
      <c r="P487" s="1">
        <f>IF(O487="Yes", 1)</f>
        <v>1</v>
      </c>
      <c r="Q487" s="1"/>
    </row>
    <row r="488" spans="1:17" x14ac:dyDescent="0.25">
      <c r="A488">
        <v>24941</v>
      </c>
      <c r="B488" s="1" t="s">
        <v>31</v>
      </c>
      <c r="C488" s="1" t="s">
        <v>32</v>
      </c>
      <c r="D488" s="2">
        <v>60000</v>
      </c>
      <c r="E488" s="2" t="str">
        <f>IF(bike_buyers[[#This Row],[Income]]&lt;40000,"Under 40K", IF(bike_buyers[[#This Row],[Income]]&lt;60000,"40K-59K", IF(bike_buyers[[#This Row],[Income]]&lt;80000,"60K-79K", IF(bike_buyers[[#This Row],[Income]]&lt;100000,"80K-99K","100K+"))))</f>
        <v>60K-79K</v>
      </c>
      <c r="F488">
        <v>3</v>
      </c>
      <c r="G488" s="1" t="s">
        <v>12</v>
      </c>
      <c r="H488" s="1" t="s">
        <v>27</v>
      </c>
      <c r="I488" s="1" t="s">
        <v>14</v>
      </c>
      <c r="J488">
        <v>2</v>
      </c>
      <c r="K488" s="1" t="s">
        <v>62</v>
      </c>
      <c r="L488" s="1" t="s">
        <v>30</v>
      </c>
      <c r="M488">
        <v>66</v>
      </c>
      <c r="N488" s="1" t="str" cm="1">
        <f t="array" ref="N488">_xlfn.IFS(M488&lt;40, " Adult", M488&lt;60, "Middle Age", M488&gt;=60, "Older Adult")</f>
        <v>Older Adult</v>
      </c>
      <c r="O488" s="1" t="s">
        <v>17</v>
      </c>
      <c r="P488" s="1" t="b">
        <f>IF(O488="Yes", 1)</f>
        <v>0</v>
      </c>
      <c r="Q488" s="1"/>
    </row>
    <row r="489" spans="1:17" x14ac:dyDescent="0.25">
      <c r="A489">
        <v>22294</v>
      </c>
      <c r="B489" s="1" t="s">
        <v>34</v>
      </c>
      <c r="C489" s="1" t="s">
        <v>33</v>
      </c>
      <c r="D489" s="2">
        <v>70000</v>
      </c>
      <c r="E489" s="2" t="str">
        <f>IF(bike_buyers[[#This Row],[Income]]&lt;40000,"Under 40K", IF(bike_buyers[[#This Row],[Income]]&lt;60000,"40K-59K", IF(bike_buyers[[#This Row],[Income]]&lt;80000,"60K-79K", IF(bike_buyers[[#This Row],[Income]]&lt;100000,"80K-99K","100K+"))))</f>
        <v>60K-79K</v>
      </c>
      <c r="F489">
        <v>0</v>
      </c>
      <c r="G489" s="1" t="s">
        <v>12</v>
      </c>
      <c r="H489" s="1" t="s">
        <v>20</v>
      </c>
      <c r="I489" s="1" t="s">
        <v>17</v>
      </c>
      <c r="J489">
        <v>1</v>
      </c>
      <c r="K489" s="1" t="s">
        <v>21</v>
      </c>
      <c r="L489" s="1" t="s">
        <v>30</v>
      </c>
      <c r="M489">
        <v>37</v>
      </c>
      <c r="N489" s="1" t="str" cm="1">
        <f t="array" ref="N489">_xlfn.IFS(M489&lt;40, " Adult", M489&lt;60, "Middle Age", M489&gt;=60, "Older Adult")</f>
        <v xml:space="preserve"> Adult</v>
      </c>
      <c r="O489" s="1" t="s">
        <v>14</v>
      </c>
      <c r="P489" s="1">
        <f>IF(O489="Yes", 1)</f>
        <v>1</v>
      </c>
      <c r="Q489" s="1"/>
    </row>
    <row r="490" spans="1:17" x14ac:dyDescent="0.25">
      <c r="A490">
        <v>12195</v>
      </c>
      <c r="B490" s="1" t="s">
        <v>34</v>
      </c>
      <c r="C490" s="1" t="s">
        <v>33</v>
      </c>
      <c r="D490" s="2">
        <v>70000</v>
      </c>
      <c r="E490" s="2" t="str">
        <f>IF(bike_buyers[[#This Row],[Income]]&lt;40000,"Under 40K", IF(bike_buyers[[#This Row],[Income]]&lt;60000,"40K-59K", IF(bike_buyers[[#This Row],[Income]]&lt;80000,"60K-79K", IF(bike_buyers[[#This Row],[Income]]&lt;100000,"80K-99K","100K+"))))</f>
        <v>60K-79K</v>
      </c>
      <c r="F490">
        <v>3</v>
      </c>
      <c r="G490" s="1" t="s">
        <v>29</v>
      </c>
      <c r="H490" s="1" t="s">
        <v>27</v>
      </c>
      <c r="I490" s="1" t="s">
        <v>14</v>
      </c>
      <c r="J490">
        <v>2</v>
      </c>
      <c r="K490" s="1" t="s">
        <v>25</v>
      </c>
      <c r="L490" s="1" t="s">
        <v>30</v>
      </c>
      <c r="M490">
        <v>52</v>
      </c>
      <c r="N490" s="1" t="str" cm="1">
        <f t="array" ref="N490">_xlfn.IFS(M490&lt;40, " Adult", M490&lt;60, "Middle Age", M490&gt;=60, "Older Adult")</f>
        <v>Middle Age</v>
      </c>
      <c r="O490" s="1" t="s">
        <v>17</v>
      </c>
      <c r="P490" s="1" t="b">
        <f>IF(O490="Yes", 1)</f>
        <v>0</v>
      </c>
      <c r="Q490" s="1"/>
    </row>
    <row r="491" spans="1:17" x14ac:dyDescent="0.25">
      <c r="A491">
        <v>25898</v>
      </c>
      <c r="B491" s="1" t="s">
        <v>31</v>
      </c>
      <c r="C491" s="1" t="s">
        <v>33</v>
      </c>
      <c r="D491" s="2">
        <v>70000</v>
      </c>
      <c r="E491" s="2" t="str">
        <f>IF(bike_buyers[[#This Row],[Income]]&lt;40000,"Under 40K", IF(bike_buyers[[#This Row],[Income]]&lt;60000,"40K-59K", IF(bike_buyers[[#This Row],[Income]]&lt;80000,"60K-79K", IF(bike_buyers[[#This Row],[Income]]&lt;100000,"80K-99K","100K+"))))</f>
        <v>60K-79K</v>
      </c>
      <c r="F491">
        <v>2</v>
      </c>
      <c r="G491" s="1" t="s">
        <v>26</v>
      </c>
      <c r="H491" s="1" t="s">
        <v>20</v>
      </c>
      <c r="I491" s="1" t="s">
        <v>14</v>
      </c>
      <c r="J491">
        <v>2</v>
      </c>
      <c r="K491" s="1" t="s">
        <v>21</v>
      </c>
      <c r="L491" s="1" t="s">
        <v>30</v>
      </c>
      <c r="M491">
        <v>53</v>
      </c>
      <c r="N491" s="1" t="str" cm="1">
        <f t="array" ref="N491">_xlfn.IFS(M491&lt;40, " Adult", M491&lt;60, "Middle Age", M491&gt;=60, "Older Adult")</f>
        <v>Middle Age</v>
      </c>
      <c r="O491" s="1" t="s">
        <v>17</v>
      </c>
      <c r="P491" s="1" t="b">
        <f>IF(O491="Yes", 1)</f>
        <v>0</v>
      </c>
      <c r="Q491" s="1"/>
    </row>
    <row r="492" spans="1:17" x14ac:dyDescent="0.25">
      <c r="A492">
        <v>19758</v>
      </c>
      <c r="B492" s="1" t="s">
        <v>34</v>
      </c>
      <c r="C492" s="1" t="s">
        <v>32</v>
      </c>
      <c r="D492" s="2">
        <v>60000</v>
      </c>
      <c r="E492" s="2" t="str">
        <f>IF(bike_buyers[[#This Row],[Income]]&lt;40000,"Under 40K", IF(bike_buyers[[#This Row],[Income]]&lt;60000,"40K-59K", IF(bike_buyers[[#This Row],[Income]]&lt;80000,"60K-79K", IF(bike_buyers[[#This Row],[Income]]&lt;100000,"80K-99K","100K+"))))</f>
        <v>60K-79K</v>
      </c>
      <c r="F492">
        <v>0</v>
      </c>
      <c r="G492" s="1" t="s">
        <v>18</v>
      </c>
      <c r="H492" s="1" t="s">
        <v>13</v>
      </c>
      <c r="I492" s="1" t="s">
        <v>17</v>
      </c>
      <c r="J492">
        <v>2</v>
      </c>
      <c r="K492" s="1" t="s">
        <v>25</v>
      </c>
      <c r="L492" s="1" t="s">
        <v>30</v>
      </c>
      <c r="M492">
        <v>29</v>
      </c>
      <c r="N492" s="1" t="str" cm="1">
        <f t="array" ref="N492">_xlfn.IFS(M492&lt;40, " Adult", M492&lt;60, "Middle Age", M492&gt;=60, "Older Adult")</f>
        <v xml:space="preserve"> Adult</v>
      </c>
      <c r="O492" s="1" t="s">
        <v>17</v>
      </c>
      <c r="P492" s="1" t="b">
        <f>IF(O492="Yes", 1)</f>
        <v>0</v>
      </c>
      <c r="Q492" s="1"/>
    </row>
    <row r="493" spans="1:17" x14ac:dyDescent="0.25">
      <c r="A493">
        <v>15529</v>
      </c>
      <c r="B493" s="1" t="s">
        <v>31</v>
      </c>
      <c r="C493" s="1" t="s">
        <v>32</v>
      </c>
      <c r="D493" s="2">
        <v>60000</v>
      </c>
      <c r="E493" s="2" t="str">
        <f>IF(bike_buyers[[#This Row],[Income]]&lt;40000,"Under 40K", IF(bike_buyers[[#This Row],[Income]]&lt;60000,"40K-59K", IF(bike_buyers[[#This Row],[Income]]&lt;80000,"60K-79K", IF(bike_buyers[[#This Row],[Income]]&lt;100000,"80K-99K","100K+"))))</f>
        <v>60K-79K</v>
      </c>
      <c r="F493">
        <v>4</v>
      </c>
      <c r="G493" s="1" t="s">
        <v>12</v>
      </c>
      <c r="H493" s="1" t="s">
        <v>20</v>
      </c>
      <c r="I493" s="1" t="s">
        <v>14</v>
      </c>
      <c r="J493">
        <v>2</v>
      </c>
      <c r="K493" s="1" t="s">
        <v>21</v>
      </c>
      <c r="L493" s="1" t="s">
        <v>30</v>
      </c>
      <c r="M493">
        <v>43</v>
      </c>
      <c r="N493" s="1" t="str" cm="1">
        <f t="array" ref="N493">_xlfn.IFS(M493&lt;40, " Adult", M493&lt;60, "Middle Age", M493&gt;=60, "Older Adult")</f>
        <v>Middle Age</v>
      </c>
      <c r="O493" s="1" t="s">
        <v>14</v>
      </c>
      <c r="P493" s="1">
        <f>IF(O493="Yes", 1)</f>
        <v>1</v>
      </c>
      <c r="Q493" s="1"/>
    </row>
    <row r="494" spans="1:17" x14ac:dyDescent="0.25">
      <c r="A494">
        <v>19884</v>
      </c>
      <c r="B494" s="1" t="s">
        <v>31</v>
      </c>
      <c r="C494" s="1" t="s">
        <v>32</v>
      </c>
      <c r="D494" s="2">
        <v>60000</v>
      </c>
      <c r="E494" s="2" t="str">
        <f>IF(bike_buyers[[#This Row],[Income]]&lt;40000,"Under 40K", IF(bike_buyers[[#This Row],[Income]]&lt;60000,"40K-59K", IF(bike_buyers[[#This Row],[Income]]&lt;80000,"60K-79K", IF(bike_buyers[[#This Row],[Income]]&lt;100000,"80K-99K","100K+"))))</f>
        <v>60K-79K</v>
      </c>
      <c r="F494">
        <v>2</v>
      </c>
      <c r="G494" s="1" t="s">
        <v>26</v>
      </c>
      <c r="H494" s="1" t="s">
        <v>20</v>
      </c>
      <c r="I494" s="1" t="s">
        <v>14</v>
      </c>
      <c r="J494">
        <v>2</v>
      </c>
      <c r="K494" s="1" t="s">
        <v>21</v>
      </c>
      <c r="L494" s="1" t="s">
        <v>30</v>
      </c>
      <c r="M494">
        <v>55</v>
      </c>
      <c r="N494" s="1" t="str" cm="1">
        <f t="array" ref="N494">_xlfn.IFS(M494&lt;40, " Adult", M494&lt;60, "Middle Age", M494&gt;=60, "Older Adult")</f>
        <v>Middle Age</v>
      </c>
      <c r="O494" s="1" t="s">
        <v>14</v>
      </c>
      <c r="P494" s="1">
        <f>IF(O494="Yes", 1)</f>
        <v>1</v>
      </c>
      <c r="Q494" s="1"/>
    </row>
    <row r="495" spans="1:17" x14ac:dyDescent="0.25">
      <c r="A495">
        <v>14063</v>
      </c>
      <c r="B495" s="1" t="s">
        <v>34</v>
      </c>
      <c r="C495" s="1" t="s">
        <v>33</v>
      </c>
      <c r="D495" s="2">
        <v>70000</v>
      </c>
      <c r="E495" s="2" t="str">
        <f>IF(bike_buyers[[#This Row],[Income]]&lt;40000,"Under 40K", IF(bike_buyers[[#This Row],[Income]]&lt;60000,"40K-59K", IF(bike_buyers[[#This Row],[Income]]&lt;80000,"60K-79K", IF(bike_buyers[[#This Row],[Income]]&lt;100000,"80K-99K","100K+"))))</f>
        <v>60K-79K</v>
      </c>
      <c r="F495">
        <v>0</v>
      </c>
      <c r="G495" s="1" t="s">
        <v>12</v>
      </c>
      <c r="H495" s="1" t="s">
        <v>20</v>
      </c>
      <c r="I495" s="1" t="s">
        <v>17</v>
      </c>
      <c r="J495">
        <v>1</v>
      </c>
      <c r="K495" s="1" t="s">
        <v>15</v>
      </c>
      <c r="L495" s="1" t="s">
        <v>23</v>
      </c>
      <c r="M495">
        <v>42</v>
      </c>
      <c r="N495" s="1" t="str" cm="1">
        <f t="array" ref="N495">_xlfn.IFS(M495&lt;40, " Adult", M495&lt;60, "Middle Age", M495&gt;=60, "Older Adult")</f>
        <v>Middle Age</v>
      </c>
      <c r="O495" s="1" t="s">
        <v>14</v>
      </c>
      <c r="P495" s="1">
        <f>IF(O495="Yes", 1)</f>
        <v>1</v>
      </c>
      <c r="Q495" s="1"/>
    </row>
    <row r="496" spans="1:17" x14ac:dyDescent="0.25">
      <c r="A496">
        <v>14417</v>
      </c>
      <c r="B496" s="1" t="s">
        <v>34</v>
      </c>
      <c r="C496" s="1" t="s">
        <v>32</v>
      </c>
      <c r="D496" s="2">
        <v>60000</v>
      </c>
      <c r="E496" s="2" t="str">
        <f>IF(bike_buyers[[#This Row],[Income]]&lt;40000,"Under 40K", IF(bike_buyers[[#This Row],[Income]]&lt;60000,"40K-59K", IF(bike_buyers[[#This Row],[Income]]&lt;80000,"60K-79K", IF(bike_buyers[[#This Row],[Income]]&lt;100000,"80K-99K","100K+"))))</f>
        <v>60K-79K</v>
      </c>
      <c r="F496">
        <v>3</v>
      </c>
      <c r="G496" s="1" t="s">
        <v>26</v>
      </c>
      <c r="H496" s="1" t="s">
        <v>20</v>
      </c>
      <c r="I496" s="1" t="s">
        <v>14</v>
      </c>
      <c r="J496">
        <v>2</v>
      </c>
      <c r="K496" s="1" t="s">
        <v>62</v>
      </c>
      <c r="L496" s="1" t="s">
        <v>30</v>
      </c>
      <c r="M496">
        <v>54</v>
      </c>
      <c r="N496" s="1" t="str" cm="1">
        <f t="array" ref="N496">_xlfn.IFS(M496&lt;40, " Adult", M496&lt;60, "Middle Age", M496&gt;=60, "Older Adult")</f>
        <v>Middle Age</v>
      </c>
      <c r="O496" s="1" t="s">
        <v>14</v>
      </c>
      <c r="P496" s="1">
        <f>IF(O496="Yes", 1)</f>
        <v>1</v>
      </c>
      <c r="Q496" s="1"/>
    </row>
    <row r="497" spans="1:17" x14ac:dyDescent="0.25">
      <c r="A497">
        <v>18580</v>
      </c>
      <c r="B497" s="1" t="s">
        <v>31</v>
      </c>
      <c r="C497" s="1" t="s">
        <v>33</v>
      </c>
      <c r="D497" s="2">
        <v>60000</v>
      </c>
      <c r="E497" s="2" t="str">
        <f>IF(bike_buyers[[#This Row],[Income]]&lt;40000,"Under 40K", IF(bike_buyers[[#This Row],[Income]]&lt;60000,"40K-59K", IF(bike_buyers[[#This Row],[Income]]&lt;80000,"60K-79K", IF(bike_buyers[[#This Row],[Income]]&lt;100000,"80K-99K","100K+"))))</f>
        <v>60K-79K</v>
      </c>
      <c r="F497">
        <v>2</v>
      </c>
      <c r="G497" s="1" t="s">
        <v>29</v>
      </c>
      <c r="H497" s="1" t="s">
        <v>20</v>
      </c>
      <c r="I497" s="1" t="s">
        <v>14</v>
      </c>
      <c r="J497">
        <v>0</v>
      </c>
      <c r="K497" s="1" t="s">
        <v>21</v>
      </c>
      <c r="L497" s="1" t="s">
        <v>30</v>
      </c>
      <c r="M497">
        <v>40</v>
      </c>
      <c r="N497" s="1" t="str" cm="1">
        <f t="array" ref="N497">_xlfn.IFS(M497&lt;40, " Adult", M497&lt;60, "Middle Age", M497&gt;=60, "Older Adult")</f>
        <v>Middle Age</v>
      </c>
      <c r="O497" s="1" t="s">
        <v>14</v>
      </c>
      <c r="P497" s="1">
        <f>IF(O497="Yes", 1)</f>
        <v>1</v>
      </c>
      <c r="Q497" s="1"/>
    </row>
    <row r="498" spans="1:17" x14ac:dyDescent="0.25">
      <c r="A498">
        <v>15895</v>
      </c>
      <c r="B498" s="1" t="s">
        <v>34</v>
      </c>
      <c r="C498" s="1" t="s">
        <v>33</v>
      </c>
      <c r="D498" s="2">
        <v>60000</v>
      </c>
      <c r="E498" s="2" t="str">
        <f>IF(bike_buyers[[#This Row],[Income]]&lt;40000,"Under 40K", IF(bike_buyers[[#This Row],[Income]]&lt;60000,"40K-59K", IF(bike_buyers[[#This Row],[Income]]&lt;80000,"60K-79K", IF(bike_buyers[[#This Row],[Income]]&lt;100000,"80K-99K","100K+"))))</f>
        <v>60K-79K</v>
      </c>
      <c r="F498">
        <v>2</v>
      </c>
      <c r="G498" s="1" t="s">
        <v>12</v>
      </c>
      <c r="H498" s="1" t="s">
        <v>27</v>
      </c>
      <c r="I498" s="1" t="s">
        <v>14</v>
      </c>
      <c r="J498">
        <v>0</v>
      </c>
      <c r="K498" s="1" t="s">
        <v>62</v>
      </c>
      <c r="L498" s="1" t="s">
        <v>30</v>
      </c>
      <c r="M498">
        <v>58</v>
      </c>
      <c r="N498" s="1" t="str" cm="1">
        <f t="array" ref="N498">_xlfn.IFS(M498&lt;40, " Adult", M498&lt;60, "Middle Age", M498&gt;=60, "Older Adult")</f>
        <v>Middle Age</v>
      </c>
      <c r="O498" s="1" t="s">
        <v>17</v>
      </c>
      <c r="P498" s="1" t="b">
        <f>IF(O498="Yes", 1)</f>
        <v>0</v>
      </c>
      <c r="Q498" s="1"/>
    </row>
    <row r="499" spans="1:17" x14ac:dyDescent="0.25">
      <c r="A499">
        <v>18577</v>
      </c>
      <c r="B499" s="1" t="s">
        <v>31</v>
      </c>
      <c r="C499" s="1" t="s">
        <v>33</v>
      </c>
      <c r="D499" s="2">
        <v>60000</v>
      </c>
      <c r="E499" s="2" t="str">
        <f>IF(bike_buyers[[#This Row],[Income]]&lt;40000,"Under 40K", IF(bike_buyers[[#This Row],[Income]]&lt;60000,"40K-59K", IF(bike_buyers[[#This Row],[Income]]&lt;80000,"60K-79K", IF(bike_buyers[[#This Row],[Income]]&lt;100000,"80K-99K","100K+"))))</f>
        <v>60K-79K</v>
      </c>
      <c r="F499">
        <v>0</v>
      </c>
      <c r="G499" s="1" t="s">
        <v>29</v>
      </c>
      <c r="H499" s="1" t="s">
        <v>20</v>
      </c>
      <c r="I499" s="1" t="s">
        <v>14</v>
      </c>
      <c r="J499">
        <v>0</v>
      </c>
      <c r="K499" s="1" t="s">
        <v>15</v>
      </c>
      <c r="L499" s="1" t="s">
        <v>30</v>
      </c>
      <c r="M499">
        <v>40</v>
      </c>
      <c r="N499" s="1" t="str" cm="1">
        <f t="array" ref="N499">_xlfn.IFS(M499&lt;40, " Adult", M499&lt;60, "Middle Age", M499&gt;=60, "Older Adult")</f>
        <v>Middle Age</v>
      </c>
      <c r="O499" s="1" t="s">
        <v>17</v>
      </c>
      <c r="P499" s="1" t="b">
        <f>IF(O499="Yes", 1)</f>
        <v>0</v>
      </c>
      <c r="Q499" s="1"/>
    </row>
    <row r="500" spans="1:17" x14ac:dyDescent="0.25">
      <c r="A500">
        <v>18560</v>
      </c>
      <c r="B500" s="1" t="s">
        <v>31</v>
      </c>
      <c r="C500" s="1" t="s">
        <v>33</v>
      </c>
      <c r="D500" s="2">
        <v>70000</v>
      </c>
      <c r="E500" s="2" t="str">
        <f>IF(bike_buyers[[#This Row],[Income]]&lt;40000,"Under 40K", IF(bike_buyers[[#This Row],[Income]]&lt;60000,"40K-59K", IF(bike_buyers[[#This Row],[Income]]&lt;80000,"60K-79K", IF(bike_buyers[[#This Row],[Income]]&lt;100000,"80K-99K","100K+"))))</f>
        <v>60K-79K</v>
      </c>
      <c r="F500">
        <v>2</v>
      </c>
      <c r="G500" s="1" t="s">
        <v>29</v>
      </c>
      <c r="H500" s="1" t="s">
        <v>20</v>
      </c>
      <c r="I500" s="1" t="s">
        <v>14</v>
      </c>
      <c r="J500">
        <v>0</v>
      </c>
      <c r="K500" s="1" t="s">
        <v>21</v>
      </c>
      <c r="L500" s="1" t="s">
        <v>30</v>
      </c>
      <c r="M500">
        <v>34</v>
      </c>
      <c r="N500" s="1" t="str" cm="1">
        <f t="array" ref="N500">_xlfn.IFS(M500&lt;40, " Adult", M500&lt;60, "Middle Age", M500&gt;=60, "Older Adult")</f>
        <v xml:space="preserve"> Adult</v>
      </c>
      <c r="O500" s="1" t="s">
        <v>14</v>
      </c>
      <c r="P500" s="1">
        <f>IF(O500="Yes", 1)</f>
        <v>1</v>
      </c>
      <c r="Q500" s="1"/>
    </row>
    <row r="501" spans="1:17" x14ac:dyDescent="0.25">
      <c r="A501">
        <v>18847</v>
      </c>
      <c r="B501" s="1" t="s">
        <v>31</v>
      </c>
      <c r="C501" s="1" t="s">
        <v>33</v>
      </c>
      <c r="D501" s="2">
        <v>60000</v>
      </c>
      <c r="E501" s="2" t="str">
        <f>IF(bike_buyers[[#This Row],[Income]]&lt;40000,"Under 40K", IF(bike_buyers[[#This Row],[Income]]&lt;60000,"40K-59K", IF(bike_buyers[[#This Row],[Income]]&lt;80000,"60K-79K", IF(bike_buyers[[#This Row],[Income]]&lt;100000,"80K-99K","100K+"))))</f>
        <v>60K-79K</v>
      </c>
      <c r="F501">
        <v>2</v>
      </c>
      <c r="G501" s="1" t="s">
        <v>29</v>
      </c>
      <c r="H501" s="1" t="s">
        <v>27</v>
      </c>
      <c r="I501" s="1" t="s">
        <v>14</v>
      </c>
      <c r="J501">
        <v>2</v>
      </c>
      <c r="K501" s="1" t="s">
        <v>22</v>
      </c>
      <c r="L501" s="1" t="s">
        <v>30</v>
      </c>
      <c r="M501">
        <v>70</v>
      </c>
      <c r="N501" s="1" t="str" cm="1">
        <f t="array" ref="N501">_xlfn.IFS(M501&lt;40, " Adult", M501&lt;60, "Middle Age", M501&gt;=60, "Older Adult")</f>
        <v>Older Adult</v>
      </c>
      <c r="O501" s="1" t="s">
        <v>17</v>
      </c>
      <c r="P501" s="1" t="b">
        <f>IF(O501="Yes", 1)</f>
        <v>0</v>
      </c>
      <c r="Q501" s="1"/>
    </row>
    <row r="502" spans="1:17" x14ac:dyDescent="0.25">
      <c r="A502">
        <v>23378</v>
      </c>
      <c r="B502" s="1" t="s">
        <v>31</v>
      </c>
      <c r="C502" s="1" t="s">
        <v>32</v>
      </c>
      <c r="D502" s="2">
        <v>70000</v>
      </c>
      <c r="E502" s="2" t="str">
        <f>IF(bike_buyers[[#This Row],[Income]]&lt;40000,"Under 40K", IF(bike_buyers[[#This Row],[Income]]&lt;60000,"40K-59K", IF(bike_buyers[[#This Row],[Income]]&lt;80000,"60K-79K", IF(bike_buyers[[#This Row],[Income]]&lt;100000,"80K-99K","100K+"))))</f>
        <v>60K-79K</v>
      </c>
      <c r="F502">
        <v>1</v>
      </c>
      <c r="G502" s="1" t="s">
        <v>18</v>
      </c>
      <c r="H502" s="1" t="s">
        <v>13</v>
      </c>
      <c r="I502" s="1" t="s">
        <v>14</v>
      </c>
      <c r="J502">
        <v>1</v>
      </c>
      <c r="K502" s="1" t="s">
        <v>21</v>
      </c>
      <c r="L502" s="1" t="s">
        <v>30</v>
      </c>
      <c r="M502">
        <v>44</v>
      </c>
      <c r="N502" s="1" t="str" cm="1">
        <f t="array" ref="N502">_xlfn.IFS(M502&lt;40, " Adult", M502&lt;60, "Middle Age", M502&gt;=60, "Older Adult")</f>
        <v>Middle Age</v>
      </c>
      <c r="O502" s="1" t="s">
        <v>14</v>
      </c>
      <c r="P502" s="1">
        <f>IF(O502="Yes", 1)</f>
        <v>1</v>
      </c>
      <c r="Q502" s="1"/>
    </row>
    <row r="503" spans="1:17" x14ac:dyDescent="0.25">
      <c r="A503">
        <v>20370</v>
      </c>
      <c r="B503" s="1" t="s">
        <v>31</v>
      </c>
      <c r="C503" s="1" t="s">
        <v>32</v>
      </c>
      <c r="D503" s="2">
        <v>70000</v>
      </c>
      <c r="E503" s="2" t="str">
        <f>IF(bike_buyers[[#This Row],[Income]]&lt;40000,"Under 40K", IF(bike_buyers[[#This Row],[Income]]&lt;60000,"40K-59K", IF(bike_buyers[[#This Row],[Income]]&lt;80000,"60K-79K", IF(bike_buyers[[#This Row],[Income]]&lt;100000,"80K-99K","100K+"))))</f>
        <v>60K-79K</v>
      </c>
      <c r="F503">
        <v>3</v>
      </c>
      <c r="G503" s="1" t="s">
        <v>28</v>
      </c>
      <c r="H503" s="1" t="s">
        <v>13</v>
      </c>
      <c r="I503" s="1" t="s">
        <v>14</v>
      </c>
      <c r="J503">
        <v>2</v>
      </c>
      <c r="K503" s="1" t="s">
        <v>22</v>
      </c>
      <c r="L503" s="1" t="s">
        <v>30</v>
      </c>
      <c r="M503">
        <v>52</v>
      </c>
      <c r="N503" s="1" t="str" cm="1">
        <f t="array" ref="N503">_xlfn.IFS(M503&lt;40, " Adult", M503&lt;60, "Middle Age", M503&gt;=60, "Older Adult")</f>
        <v>Middle Age</v>
      </c>
      <c r="O503" s="1" t="s">
        <v>17</v>
      </c>
      <c r="P503" s="1" t="b">
        <f>IF(O503="Yes", 1)</f>
        <v>0</v>
      </c>
      <c r="Q503" s="1"/>
    </row>
    <row r="504" spans="1:17" x14ac:dyDescent="0.25">
      <c r="A504">
        <v>21751</v>
      </c>
      <c r="B504" s="1" t="s">
        <v>31</v>
      </c>
      <c r="C504" s="1" t="s">
        <v>32</v>
      </c>
      <c r="D504" s="2">
        <v>60000</v>
      </c>
      <c r="E504" s="2" t="str">
        <f>IF(bike_buyers[[#This Row],[Income]]&lt;40000,"Under 40K", IF(bike_buyers[[#This Row],[Income]]&lt;60000,"40K-59K", IF(bike_buyers[[#This Row],[Income]]&lt;80000,"60K-79K", IF(bike_buyers[[#This Row],[Income]]&lt;100000,"80K-99K","100K+"))))</f>
        <v>60K-79K</v>
      </c>
      <c r="F504">
        <v>3</v>
      </c>
      <c r="G504" s="1" t="s">
        <v>29</v>
      </c>
      <c r="H504" s="1" t="s">
        <v>27</v>
      </c>
      <c r="I504" s="1" t="s">
        <v>14</v>
      </c>
      <c r="J504">
        <v>2</v>
      </c>
      <c r="K504" s="1" t="s">
        <v>25</v>
      </c>
      <c r="L504" s="1" t="s">
        <v>30</v>
      </c>
      <c r="M504">
        <v>63</v>
      </c>
      <c r="N504" s="1" t="str" cm="1">
        <f t="array" ref="N504">_xlfn.IFS(M504&lt;40, " Adult", M504&lt;60, "Middle Age", M504&gt;=60, "Older Adult")</f>
        <v>Older Adult</v>
      </c>
      <c r="O504" s="1" t="s">
        <v>17</v>
      </c>
      <c r="P504" s="1" t="b">
        <f>IF(O504="Yes", 1)</f>
        <v>0</v>
      </c>
      <c r="Q504" s="1"/>
    </row>
    <row r="505" spans="1:17" x14ac:dyDescent="0.25">
      <c r="A505">
        <v>13388</v>
      </c>
      <c r="B505" s="1" t="s">
        <v>34</v>
      </c>
      <c r="C505" s="1" t="s">
        <v>32</v>
      </c>
      <c r="D505" s="2">
        <v>60000</v>
      </c>
      <c r="E505" s="2" t="str">
        <f>IF(bike_buyers[[#This Row],[Income]]&lt;40000,"Under 40K", IF(bike_buyers[[#This Row],[Income]]&lt;60000,"40K-59K", IF(bike_buyers[[#This Row],[Income]]&lt;80000,"60K-79K", IF(bike_buyers[[#This Row],[Income]]&lt;100000,"80K-99K","100K+"))))</f>
        <v>60K-79K</v>
      </c>
      <c r="F505">
        <v>2</v>
      </c>
      <c r="G505" s="1" t="s">
        <v>18</v>
      </c>
      <c r="H505" s="1" t="s">
        <v>20</v>
      </c>
      <c r="I505" s="1" t="s">
        <v>14</v>
      </c>
      <c r="J505">
        <v>1</v>
      </c>
      <c r="K505" s="1" t="s">
        <v>62</v>
      </c>
      <c r="L505" s="1" t="s">
        <v>30</v>
      </c>
      <c r="M505">
        <v>56</v>
      </c>
      <c r="N505" s="1" t="str" cm="1">
        <f t="array" ref="N505">_xlfn.IFS(M505&lt;40, " Adult", M505&lt;60, "Middle Age", M505&gt;=60, "Older Adult")</f>
        <v>Middle Age</v>
      </c>
      <c r="O505" s="1" t="s">
        <v>17</v>
      </c>
      <c r="P505" s="1" t="b">
        <f>IF(O505="Yes", 1)</f>
        <v>0</v>
      </c>
      <c r="Q505" s="1"/>
    </row>
    <row r="506" spans="1:17" x14ac:dyDescent="0.25">
      <c r="A506">
        <v>15313</v>
      </c>
      <c r="B506" s="1" t="s">
        <v>31</v>
      </c>
      <c r="C506" s="1" t="s">
        <v>32</v>
      </c>
      <c r="D506" s="2">
        <v>60000</v>
      </c>
      <c r="E506" s="2" t="str">
        <f>IF(bike_buyers[[#This Row],[Income]]&lt;40000,"Under 40K", IF(bike_buyers[[#This Row],[Income]]&lt;60000,"40K-59K", IF(bike_buyers[[#This Row],[Income]]&lt;80000,"60K-79K", IF(bike_buyers[[#This Row],[Income]]&lt;100000,"80K-99K","100K+"))))</f>
        <v>60K-79K</v>
      </c>
      <c r="F506">
        <v>4</v>
      </c>
      <c r="G506" s="1" t="s">
        <v>12</v>
      </c>
      <c r="H506" s="1" t="s">
        <v>27</v>
      </c>
      <c r="I506" s="1" t="s">
        <v>14</v>
      </c>
      <c r="J506">
        <v>2</v>
      </c>
      <c r="K506" s="1" t="s">
        <v>21</v>
      </c>
      <c r="L506" s="1" t="s">
        <v>30</v>
      </c>
      <c r="M506">
        <v>59</v>
      </c>
      <c r="N506" s="1" t="str" cm="1">
        <f t="array" ref="N506">_xlfn.IFS(M506&lt;40, " Adult", M506&lt;60, "Middle Age", M506&gt;=60, "Older Adult")</f>
        <v>Middle Age</v>
      </c>
      <c r="O506" s="1" t="s">
        <v>17</v>
      </c>
      <c r="P506" s="1" t="b">
        <f>IF(O506="Yes", 1)</f>
        <v>0</v>
      </c>
      <c r="Q506" s="1"/>
    </row>
    <row r="507" spans="1:17" x14ac:dyDescent="0.25">
      <c r="A507">
        <v>20380</v>
      </c>
      <c r="B507" s="1" t="s">
        <v>31</v>
      </c>
      <c r="C507" s="1" t="s">
        <v>33</v>
      </c>
      <c r="D507" s="2">
        <v>60000</v>
      </c>
      <c r="E507" s="2" t="str">
        <f>IF(bike_buyers[[#This Row],[Income]]&lt;40000,"Under 40K", IF(bike_buyers[[#This Row],[Income]]&lt;60000,"40K-59K", IF(bike_buyers[[#This Row],[Income]]&lt;80000,"60K-79K", IF(bike_buyers[[#This Row],[Income]]&lt;100000,"80K-99K","100K+"))))</f>
        <v>60K-79K</v>
      </c>
      <c r="F507">
        <v>3</v>
      </c>
      <c r="G507" s="1" t="s">
        <v>29</v>
      </c>
      <c r="H507" s="1" t="s">
        <v>27</v>
      </c>
      <c r="I507" s="1" t="s">
        <v>14</v>
      </c>
      <c r="J507">
        <v>2</v>
      </c>
      <c r="K507" s="1" t="s">
        <v>62</v>
      </c>
      <c r="L507" s="1" t="s">
        <v>30</v>
      </c>
      <c r="M507">
        <v>69</v>
      </c>
      <c r="N507" s="1" t="str" cm="1">
        <f t="array" ref="N507">_xlfn.IFS(M507&lt;40, " Adult", M507&lt;60, "Middle Age", M507&gt;=60, "Older Adult")</f>
        <v>Older Adult</v>
      </c>
      <c r="O507" s="1" t="s">
        <v>17</v>
      </c>
      <c r="P507" s="1" t="b">
        <f>IF(O507="Yes", 1)</f>
        <v>0</v>
      </c>
      <c r="Q507" s="1"/>
    </row>
    <row r="508" spans="1:17" x14ac:dyDescent="0.25">
      <c r="A508">
        <v>24943</v>
      </c>
      <c r="B508" s="1" t="s">
        <v>31</v>
      </c>
      <c r="C508" s="1" t="s">
        <v>32</v>
      </c>
      <c r="D508" s="2">
        <v>60000</v>
      </c>
      <c r="E508" s="2" t="str">
        <f>IF(bike_buyers[[#This Row],[Income]]&lt;40000,"Under 40K", IF(bike_buyers[[#This Row],[Income]]&lt;60000,"40K-59K", IF(bike_buyers[[#This Row],[Income]]&lt;80000,"60K-79K", IF(bike_buyers[[#This Row],[Income]]&lt;100000,"80K-99K","100K+"))))</f>
        <v>60K-79K</v>
      </c>
      <c r="F508">
        <v>3</v>
      </c>
      <c r="G508" s="1" t="s">
        <v>12</v>
      </c>
      <c r="H508" s="1" t="s">
        <v>27</v>
      </c>
      <c r="I508" s="1" t="s">
        <v>14</v>
      </c>
      <c r="J508">
        <v>2</v>
      </c>
      <c r="K508" s="1" t="s">
        <v>62</v>
      </c>
      <c r="L508" s="1" t="s">
        <v>30</v>
      </c>
      <c r="M508">
        <v>66</v>
      </c>
      <c r="N508" s="1" t="str" cm="1">
        <f t="array" ref="N508">_xlfn.IFS(M508&lt;40, " Adult", M508&lt;60, "Middle Age", M508&gt;=60, "Older Adult")</f>
        <v>Older Adult</v>
      </c>
      <c r="O508" s="1" t="s">
        <v>17</v>
      </c>
      <c r="P508" s="1" t="b">
        <f>IF(O508="Yes", 1)</f>
        <v>0</v>
      </c>
      <c r="Q508" s="1"/>
    </row>
    <row r="509" spans="1:17" x14ac:dyDescent="0.25">
      <c r="A509">
        <v>28667</v>
      </c>
      <c r="B509" s="1" t="s">
        <v>34</v>
      </c>
      <c r="C509" s="1" t="s">
        <v>32</v>
      </c>
      <c r="D509" s="2">
        <v>70000</v>
      </c>
      <c r="E509" s="2" t="str">
        <f>IF(bike_buyers[[#This Row],[Income]]&lt;40000,"Under 40K", IF(bike_buyers[[#This Row],[Income]]&lt;60000,"40K-59K", IF(bike_buyers[[#This Row],[Income]]&lt;80000,"60K-79K", IF(bike_buyers[[#This Row],[Income]]&lt;100000,"80K-99K","100K+"))))</f>
        <v>60K-79K</v>
      </c>
      <c r="F509">
        <v>2</v>
      </c>
      <c r="G509" s="1" t="s">
        <v>12</v>
      </c>
      <c r="H509" s="1" t="s">
        <v>13</v>
      </c>
      <c r="I509" s="1" t="s">
        <v>17</v>
      </c>
      <c r="J509">
        <v>1</v>
      </c>
      <c r="K509" s="1" t="s">
        <v>15</v>
      </c>
      <c r="L509" s="1" t="s">
        <v>30</v>
      </c>
      <c r="M509">
        <v>37</v>
      </c>
      <c r="N509" s="1" t="str" cm="1">
        <f t="array" ref="N509">_xlfn.IFS(M509&lt;40, " Adult", M509&lt;60, "Middle Age", M509&gt;=60, "Older Adult")</f>
        <v xml:space="preserve"> Adult</v>
      </c>
      <c r="O509" s="1" t="s">
        <v>14</v>
      </c>
      <c r="P509" s="1">
        <f>IF(O509="Yes", 1)</f>
        <v>1</v>
      </c>
      <c r="Q509" s="1"/>
    </row>
    <row r="510" spans="1:17" x14ac:dyDescent="0.25">
      <c r="A510">
        <v>17436</v>
      </c>
      <c r="B510" s="1" t="s">
        <v>31</v>
      </c>
      <c r="C510" s="1" t="s">
        <v>32</v>
      </c>
      <c r="D510" s="2">
        <v>60000</v>
      </c>
      <c r="E510" s="2" t="str">
        <f>IF(bike_buyers[[#This Row],[Income]]&lt;40000,"Under 40K", IF(bike_buyers[[#This Row],[Income]]&lt;60000,"40K-59K", IF(bike_buyers[[#This Row],[Income]]&lt;80000,"60K-79K", IF(bike_buyers[[#This Row],[Income]]&lt;100000,"80K-99K","100K+"))))</f>
        <v>60K-79K</v>
      </c>
      <c r="F510">
        <v>2</v>
      </c>
      <c r="G510" s="1" t="s">
        <v>26</v>
      </c>
      <c r="H510" s="1" t="s">
        <v>20</v>
      </c>
      <c r="I510" s="1" t="s">
        <v>17</v>
      </c>
      <c r="J510">
        <v>2</v>
      </c>
      <c r="K510" s="1" t="s">
        <v>25</v>
      </c>
      <c r="L510" s="1" t="s">
        <v>30</v>
      </c>
      <c r="M510">
        <v>51</v>
      </c>
      <c r="N510" s="1" t="str" cm="1">
        <f t="array" ref="N510">_xlfn.IFS(M510&lt;40, " Adult", M510&lt;60, "Middle Age", M510&gt;=60, "Older Adult")</f>
        <v>Middle Age</v>
      </c>
      <c r="O510" s="1" t="s">
        <v>17</v>
      </c>
      <c r="P510" s="1" t="b">
        <f>IF(O510="Yes", 1)</f>
        <v>0</v>
      </c>
      <c r="Q510" s="1"/>
    </row>
    <row r="511" spans="1:17" x14ac:dyDescent="0.25">
      <c r="A511">
        <v>12100</v>
      </c>
      <c r="B511" s="1" t="s">
        <v>34</v>
      </c>
      <c r="C511" s="1" t="s">
        <v>32</v>
      </c>
      <c r="D511" s="2">
        <v>60000</v>
      </c>
      <c r="E511" s="2" t="str">
        <f>IF(bike_buyers[[#This Row],[Income]]&lt;40000,"Under 40K", IF(bike_buyers[[#This Row],[Income]]&lt;60000,"40K-59K", IF(bike_buyers[[#This Row],[Income]]&lt;80000,"60K-79K", IF(bike_buyers[[#This Row],[Income]]&lt;100000,"80K-99K","100K+"))))</f>
        <v>60K-79K</v>
      </c>
      <c r="F511">
        <v>2</v>
      </c>
      <c r="G511" s="1" t="s">
        <v>12</v>
      </c>
      <c r="H511" s="1" t="s">
        <v>27</v>
      </c>
      <c r="I511" s="1" t="s">
        <v>14</v>
      </c>
      <c r="J511">
        <v>0</v>
      </c>
      <c r="K511" s="1" t="s">
        <v>62</v>
      </c>
      <c r="L511" s="1" t="s">
        <v>30</v>
      </c>
      <c r="M511">
        <v>57</v>
      </c>
      <c r="N511" s="1" t="str" cm="1">
        <f t="array" ref="N511">_xlfn.IFS(M511&lt;40, " Adult", M511&lt;60, "Middle Age", M511&gt;=60, "Older Adult")</f>
        <v>Middle Age</v>
      </c>
      <c r="O511" s="1" t="s">
        <v>17</v>
      </c>
      <c r="P511" s="1" t="b">
        <f>IF(O511="Yes", 1)</f>
        <v>0</v>
      </c>
      <c r="Q511" s="1"/>
    </row>
    <row r="512" spans="1:17" x14ac:dyDescent="0.25">
      <c r="A512">
        <v>23158</v>
      </c>
      <c r="B512" s="1" t="s">
        <v>31</v>
      </c>
      <c r="C512" s="1" t="s">
        <v>33</v>
      </c>
      <c r="D512" s="2">
        <v>60000</v>
      </c>
      <c r="E512" s="2" t="str">
        <f>IF(bike_buyers[[#This Row],[Income]]&lt;40000,"Under 40K", IF(bike_buyers[[#This Row],[Income]]&lt;60000,"40K-59K", IF(bike_buyers[[#This Row],[Income]]&lt;80000,"60K-79K", IF(bike_buyers[[#This Row],[Income]]&lt;100000,"80K-99K","100K+"))))</f>
        <v>60K-79K</v>
      </c>
      <c r="F512">
        <v>1</v>
      </c>
      <c r="G512" s="1" t="s">
        <v>29</v>
      </c>
      <c r="H512" s="1" t="s">
        <v>20</v>
      </c>
      <c r="I512" s="1" t="s">
        <v>17</v>
      </c>
      <c r="J512">
        <v>0</v>
      </c>
      <c r="K512" s="1" t="s">
        <v>15</v>
      </c>
      <c r="L512" s="1" t="s">
        <v>30</v>
      </c>
      <c r="M512">
        <v>35</v>
      </c>
      <c r="N512" s="1" t="str" cm="1">
        <f t="array" ref="N512">_xlfn.IFS(M512&lt;40, " Adult", M512&lt;60, "Middle Age", M512&gt;=60, "Older Adult")</f>
        <v xml:space="preserve"> Adult</v>
      </c>
      <c r="O512" s="1" t="s">
        <v>14</v>
      </c>
      <c r="P512" s="1">
        <f>IF(O512="Yes", 1)</f>
        <v>1</v>
      </c>
      <c r="Q512" s="1"/>
    </row>
    <row r="513" spans="1:17" x14ac:dyDescent="0.25">
      <c r="A513">
        <v>19812</v>
      </c>
      <c r="B513" s="1" t="s">
        <v>34</v>
      </c>
      <c r="C513" s="1" t="s">
        <v>33</v>
      </c>
      <c r="D513" s="2">
        <v>70000</v>
      </c>
      <c r="E513" s="2" t="str">
        <f>IF(bike_buyers[[#This Row],[Income]]&lt;40000,"Under 40K", IF(bike_buyers[[#This Row],[Income]]&lt;60000,"40K-59K", IF(bike_buyers[[#This Row],[Income]]&lt;80000,"60K-79K", IF(bike_buyers[[#This Row],[Income]]&lt;100000,"80K-99K","100K+"))))</f>
        <v>60K-79K</v>
      </c>
      <c r="F513">
        <v>2</v>
      </c>
      <c r="G513" s="1" t="s">
        <v>18</v>
      </c>
      <c r="H513" s="1" t="s">
        <v>20</v>
      </c>
      <c r="I513" s="1" t="s">
        <v>14</v>
      </c>
      <c r="J513">
        <v>0</v>
      </c>
      <c r="K513" s="1" t="s">
        <v>22</v>
      </c>
      <c r="L513" s="1" t="s">
        <v>30</v>
      </c>
      <c r="M513">
        <v>49</v>
      </c>
      <c r="N513" s="1" t="str" cm="1">
        <f t="array" ref="N513">_xlfn.IFS(M513&lt;40, " Adult", M513&lt;60, "Middle Age", M513&gt;=60, "Older Adult")</f>
        <v>Middle Age</v>
      </c>
      <c r="O513" s="1" t="s">
        <v>14</v>
      </c>
      <c r="P513" s="1">
        <f>IF(O513="Yes", 1)</f>
        <v>1</v>
      </c>
      <c r="Q513" s="1"/>
    </row>
    <row r="514" spans="1:17" x14ac:dyDescent="0.25">
      <c r="A514">
        <v>19002</v>
      </c>
      <c r="B514" s="1" t="s">
        <v>31</v>
      </c>
      <c r="C514" s="1" t="s">
        <v>33</v>
      </c>
      <c r="D514" s="2">
        <v>60000</v>
      </c>
      <c r="E514" s="2" t="str">
        <f>IF(bike_buyers[[#This Row],[Income]]&lt;40000,"Under 40K", IF(bike_buyers[[#This Row],[Income]]&lt;60000,"40K-59K", IF(bike_buyers[[#This Row],[Income]]&lt;80000,"60K-79K", IF(bike_buyers[[#This Row],[Income]]&lt;100000,"80K-99K","100K+"))))</f>
        <v>60K-79K</v>
      </c>
      <c r="F514">
        <v>2</v>
      </c>
      <c r="G514" s="1" t="s">
        <v>18</v>
      </c>
      <c r="H514" s="1" t="s">
        <v>20</v>
      </c>
      <c r="I514" s="1" t="s">
        <v>14</v>
      </c>
      <c r="J514">
        <v>1</v>
      </c>
      <c r="K514" s="1" t="s">
        <v>21</v>
      </c>
      <c r="L514" s="1" t="s">
        <v>30</v>
      </c>
      <c r="M514">
        <v>57</v>
      </c>
      <c r="N514" s="1" t="str" cm="1">
        <f t="array" ref="N514">_xlfn.IFS(M514&lt;40, " Adult", M514&lt;60, "Middle Age", M514&gt;=60, "Older Adult")</f>
        <v>Middle Age</v>
      </c>
      <c r="O514" s="1" t="s">
        <v>14</v>
      </c>
      <c r="P514" s="1">
        <f>IF(O514="Yes", 1)</f>
        <v>1</v>
      </c>
      <c r="Q514" s="1"/>
    </row>
    <row r="515" spans="1:17" x14ac:dyDescent="0.25">
      <c r="A515">
        <v>18858</v>
      </c>
      <c r="B515" s="1" t="s">
        <v>34</v>
      </c>
      <c r="C515" s="1" t="s">
        <v>32</v>
      </c>
      <c r="D515" s="2">
        <v>60000</v>
      </c>
      <c r="E515" s="2" t="str">
        <f>IF(bike_buyers[[#This Row],[Income]]&lt;40000,"Under 40K", IF(bike_buyers[[#This Row],[Income]]&lt;60000,"40K-59K", IF(bike_buyers[[#This Row],[Income]]&lt;80000,"60K-79K", IF(bike_buyers[[#This Row],[Income]]&lt;100000,"80K-99K","100K+"))))</f>
        <v>60K-79K</v>
      </c>
      <c r="F515">
        <v>2</v>
      </c>
      <c r="G515" s="1" t="s">
        <v>28</v>
      </c>
      <c r="H515" s="1" t="s">
        <v>13</v>
      </c>
      <c r="I515" s="1" t="s">
        <v>14</v>
      </c>
      <c r="J515">
        <v>2</v>
      </c>
      <c r="K515" s="1" t="s">
        <v>22</v>
      </c>
      <c r="L515" s="1" t="s">
        <v>30</v>
      </c>
      <c r="M515">
        <v>52</v>
      </c>
      <c r="N515" s="1" t="str" cm="1">
        <f t="array" ref="N515">_xlfn.IFS(M515&lt;40, " Adult", M515&lt;60, "Middle Age", M515&gt;=60, "Older Adult")</f>
        <v>Middle Age</v>
      </c>
      <c r="O515" s="1" t="s">
        <v>14</v>
      </c>
      <c r="P515" s="1">
        <f>IF(O515="Yes", 1)</f>
        <v>1</v>
      </c>
      <c r="Q515" s="1"/>
    </row>
    <row r="516" spans="1:17" x14ac:dyDescent="0.25">
      <c r="A516">
        <v>20000</v>
      </c>
      <c r="B516" s="1" t="s">
        <v>31</v>
      </c>
      <c r="C516" s="1" t="s">
        <v>32</v>
      </c>
      <c r="D516" s="2">
        <v>60000</v>
      </c>
      <c r="E516" s="2" t="str">
        <f>IF(bike_buyers[[#This Row],[Income]]&lt;40000,"Under 40K", IF(bike_buyers[[#This Row],[Income]]&lt;60000,"40K-59K", IF(bike_buyers[[#This Row],[Income]]&lt;80000,"60K-79K", IF(bike_buyers[[#This Row],[Income]]&lt;100000,"80K-99K","100K+"))))</f>
        <v>60K-79K</v>
      </c>
      <c r="F516">
        <v>1</v>
      </c>
      <c r="G516" s="1" t="s">
        <v>29</v>
      </c>
      <c r="H516" s="1" t="s">
        <v>20</v>
      </c>
      <c r="I516" s="1" t="s">
        <v>14</v>
      </c>
      <c r="J516">
        <v>0</v>
      </c>
      <c r="K516" s="1" t="s">
        <v>15</v>
      </c>
      <c r="L516" s="1" t="s">
        <v>30</v>
      </c>
      <c r="M516">
        <v>35</v>
      </c>
      <c r="N516" s="1" t="str" cm="1">
        <f t="array" ref="N516">_xlfn.IFS(M516&lt;40, " Adult", M516&lt;60, "Middle Age", M516&gt;=60, "Older Adult")</f>
        <v xml:space="preserve"> Adult</v>
      </c>
      <c r="O516" s="1" t="s">
        <v>14</v>
      </c>
      <c r="P516" s="1">
        <f>IF(O516="Yes", 1)</f>
        <v>1</v>
      </c>
      <c r="Q516" s="1"/>
    </row>
    <row r="517" spans="1:17" x14ac:dyDescent="0.25">
      <c r="A517">
        <v>17458</v>
      </c>
      <c r="B517" s="1" t="s">
        <v>34</v>
      </c>
      <c r="C517" s="1" t="s">
        <v>32</v>
      </c>
      <c r="D517" s="2">
        <v>70000</v>
      </c>
      <c r="E517" s="2" t="str">
        <f>IF(bike_buyers[[#This Row],[Income]]&lt;40000,"Under 40K", IF(bike_buyers[[#This Row],[Income]]&lt;60000,"40K-59K", IF(bike_buyers[[#This Row],[Income]]&lt;80000,"60K-79K", IF(bike_buyers[[#This Row],[Income]]&lt;100000,"80K-99K","100K+"))))</f>
        <v>60K-79K</v>
      </c>
      <c r="F517">
        <v>3</v>
      </c>
      <c r="G517" s="1" t="s">
        <v>26</v>
      </c>
      <c r="H517" s="1" t="s">
        <v>20</v>
      </c>
      <c r="I517" s="1" t="s">
        <v>14</v>
      </c>
      <c r="J517">
        <v>0</v>
      </c>
      <c r="K517" s="1" t="s">
        <v>22</v>
      </c>
      <c r="L517" s="1" t="s">
        <v>30</v>
      </c>
      <c r="M517">
        <v>52</v>
      </c>
      <c r="N517" s="1" t="str" cm="1">
        <f t="array" ref="N517">_xlfn.IFS(M517&lt;40, " Adult", M517&lt;60, "Middle Age", M517&gt;=60, "Older Adult")</f>
        <v>Middle Age</v>
      </c>
      <c r="O517" s="1" t="s">
        <v>14</v>
      </c>
      <c r="P517" s="1">
        <f>IF(O517="Yes", 1)</f>
        <v>1</v>
      </c>
      <c r="Q517" s="1"/>
    </row>
    <row r="518" spans="1:17" x14ac:dyDescent="0.25">
      <c r="A518">
        <v>16145</v>
      </c>
      <c r="B518" s="1" t="s">
        <v>34</v>
      </c>
      <c r="C518" s="1" t="s">
        <v>33</v>
      </c>
      <c r="D518" s="2">
        <v>70000</v>
      </c>
      <c r="E518" s="2" t="str">
        <f>IF(bike_buyers[[#This Row],[Income]]&lt;40000,"Under 40K", IF(bike_buyers[[#This Row],[Income]]&lt;60000,"40K-59K", IF(bike_buyers[[#This Row],[Income]]&lt;80000,"60K-79K", IF(bike_buyers[[#This Row],[Income]]&lt;100000,"80K-99K","100K+"))))</f>
        <v>60K-79K</v>
      </c>
      <c r="F518">
        <v>5</v>
      </c>
      <c r="G518" s="1" t="s">
        <v>29</v>
      </c>
      <c r="H518" s="1" t="s">
        <v>20</v>
      </c>
      <c r="I518" s="1" t="s">
        <v>14</v>
      </c>
      <c r="J518">
        <v>3</v>
      </c>
      <c r="K518" s="1" t="s">
        <v>62</v>
      </c>
      <c r="L518" s="1" t="s">
        <v>30</v>
      </c>
      <c r="M518">
        <v>46</v>
      </c>
      <c r="N518" s="1" t="str" cm="1">
        <f t="array" ref="N518">_xlfn.IFS(M518&lt;40, " Adult", M518&lt;60, "Middle Age", M518&gt;=60, "Older Adult")</f>
        <v>Middle Age</v>
      </c>
      <c r="O518" s="1" t="s">
        <v>14</v>
      </c>
      <c r="P518" s="1">
        <f>IF(O518="Yes", 1)</f>
        <v>1</v>
      </c>
      <c r="Q518" s="1"/>
    </row>
    <row r="519" spans="1:17" x14ac:dyDescent="0.25">
      <c r="A519">
        <v>16890</v>
      </c>
      <c r="B519" s="1" t="s">
        <v>31</v>
      </c>
      <c r="C519" s="1" t="s">
        <v>32</v>
      </c>
      <c r="D519" s="2">
        <v>60000</v>
      </c>
      <c r="E519" s="2" t="str">
        <f>IF(bike_buyers[[#This Row],[Income]]&lt;40000,"Under 40K", IF(bike_buyers[[#This Row],[Income]]&lt;60000,"40K-59K", IF(bike_buyers[[#This Row],[Income]]&lt;80000,"60K-79K", IF(bike_buyers[[#This Row],[Income]]&lt;100000,"80K-99K","100K+"))))</f>
        <v>60K-79K</v>
      </c>
      <c r="F519">
        <v>3</v>
      </c>
      <c r="G519" s="1" t="s">
        <v>28</v>
      </c>
      <c r="H519" s="1" t="s">
        <v>13</v>
      </c>
      <c r="I519" s="1" t="s">
        <v>14</v>
      </c>
      <c r="J519">
        <v>2</v>
      </c>
      <c r="K519" s="1" t="s">
        <v>22</v>
      </c>
      <c r="L519" s="1" t="s">
        <v>30</v>
      </c>
      <c r="M519">
        <v>52</v>
      </c>
      <c r="N519" s="1" t="str" cm="1">
        <f t="array" ref="N519">_xlfn.IFS(M519&lt;40, " Adult", M519&lt;60, "Middle Age", M519&gt;=60, "Older Adult")</f>
        <v>Middle Age</v>
      </c>
      <c r="O519" s="1" t="s">
        <v>14</v>
      </c>
      <c r="P519" s="1">
        <f>IF(O519="Yes", 1)</f>
        <v>1</v>
      </c>
      <c r="Q519" s="1"/>
    </row>
    <row r="520" spans="1:17" x14ac:dyDescent="0.25">
      <c r="A520">
        <v>25983</v>
      </c>
      <c r="B520" s="1" t="s">
        <v>31</v>
      </c>
      <c r="C520" s="1" t="s">
        <v>32</v>
      </c>
      <c r="D520" s="2">
        <v>70000</v>
      </c>
      <c r="E520" s="2" t="str">
        <f>IF(bike_buyers[[#This Row],[Income]]&lt;40000,"Under 40K", IF(bike_buyers[[#This Row],[Income]]&lt;60000,"40K-59K", IF(bike_buyers[[#This Row],[Income]]&lt;80000,"60K-79K", IF(bike_buyers[[#This Row],[Income]]&lt;100000,"80K-99K","100K+"))))</f>
        <v>60K-79K</v>
      </c>
      <c r="F520">
        <v>0</v>
      </c>
      <c r="G520" s="1" t="s">
        <v>12</v>
      </c>
      <c r="H520" s="1" t="s">
        <v>20</v>
      </c>
      <c r="I520" s="1" t="s">
        <v>17</v>
      </c>
      <c r="J520">
        <v>1</v>
      </c>
      <c r="K520" s="1" t="s">
        <v>15</v>
      </c>
      <c r="L520" s="1" t="s">
        <v>30</v>
      </c>
      <c r="M520">
        <v>43</v>
      </c>
      <c r="N520" s="1" t="str" cm="1">
        <f t="array" ref="N520">_xlfn.IFS(M520&lt;40, " Adult", M520&lt;60, "Middle Age", M520&gt;=60, "Older Adult")</f>
        <v>Middle Age</v>
      </c>
      <c r="O520" s="1" t="s">
        <v>17</v>
      </c>
      <c r="P520" s="1" t="b">
        <f>IF(O520="Yes", 1)</f>
        <v>0</v>
      </c>
      <c r="Q520" s="1"/>
    </row>
    <row r="521" spans="1:17" x14ac:dyDescent="0.25">
      <c r="A521">
        <v>14633</v>
      </c>
      <c r="B521" s="1" t="s">
        <v>31</v>
      </c>
      <c r="C521" s="1" t="s">
        <v>32</v>
      </c>
      <c r="D521" s="2">
        <v>60000</v>
      </c>
      <c r="E521" s="2" t="str">
        <f>IF(bike_buyers[[#This Row],[Income]]&lt;40000,"Under 40K", IF(bike_buyers[[#This Row],[Income]]&lt;60000,"40K-59K", IF(bike_buyers[[#This Row],[Income]]&lt;80000,"60K-79K", IF(bike_buyers[[#This Row],[Income]]&lt;100000,"80K-99K","100K+"))))</f>
        <v>60K-79K</v>
      </c>
      <c r="F521">
        <v>1</v>
      </c>
      <c r="G521" s="1" t="s">
        <v>18</v>
      </c>
      <c r="H521" s="1" t="s">
        <v>13</v>
      </c>
      <c r="I521" s="1" t="s">
        <v>14</v>
      </c>
      <c r="J521">
        <v>1</v>
      </c>
      <c r="K521" s="1" t="s">
        <v>21</v>
      </c>
      <c r="L521" s="1" t="s">
        <v>30</v>
      </c>
      <c r="M521">
        <v>44</v>
      </c>
      <c r="N521" s="1" t="str" cm="1">
        <f t="array" ref="N521">_xlfn.IFS(M521&lt;40, " Adult", M521&lt;60, "Middle Age", M521&gt;=60, "Older Adult")</f>
        <v>Middle Age</v>
      </c>
      <c r="O521" s="1" t="s">
        <v>17</v>
      </c>
      <c r="P521" s="1" t="b">
        <f>IF(O521="Yes", 1)</f>
        <v>0</v>
      </c>
      <c r="Q521" s="1"/>
    </row>
    <row r="522" spans="1:17" x14ac:dyDescent="0.25">
      <c r="A522">
        <v>11538</v>
      </c>
      <c r="B522" s="1" t="s">
        <v>34</v>
      </c>
      <c r="C522" s="1" t="s">
        <v>33</v>
      </c>
      <c r="D522" s="2">
        <v>60000</v>
      </c>
      <c r="E522" s="2" t="str">
        <f>IF(bike_buyers[[#This Row],[Income]]&lt;40000,"Under 40K", IF(bike_buyers[[#This Row],[Income]]&lt;60000,"40K-59K", IF(bike_buyers[[#This Row],[Income]]&lt;80000,"60K-79K", IF(bike_buyers[[#This Row],[Income]]&lt;100000,"80K-99K","100K+"))))</f>
        <v>60K-79K</v>
      </c>
      <c r="F522">
        <v>4</v>
      </c>
      <c r="G522" s="1" t="s">
        <v>29</v>
      </c>
      <c r="H522" s="1" t="s">
        <v>13</v>
      </c>
      <c r="I522" s="1" t="s">
        <v>17</v>
      </c>
      <c r="J522">
        <v>0</v>
      </c>
      <c r="K522" s="1" t="s">
        <v>15</v>
      </c>
      <c r="L522" s="1" t="s">
        <v>30</v>
      </c>
      <c r="M522">
        <v>47</v>
      </c>
      <c r="N522" s="1" t="str" cm="1">
        <f t="array" ref="N522">_xlfn.IFS(M522&lt;40, " Adult", M522&lt;60, "Middle Age", M522&gt;=60, "Older Adult")</f>
        <v>Middle Age</v>
      </c>
      <c r="O522" s="1" t="s">
        <v>14</v>
      </c>
      <c r="P522" s="1">
        <f>IF(O522="Yes", 1)</f>
        <v>1</v>
      </c>
      <c r="Q522" s="1"/>
    </row>
    <row r="523" spans="1:17" x14ac:dyDescent="0.25">
      <c r="A523">
        <v>11200</v>
      </c>
      <c r="B523" s="1" t="s">
        <v>31</v>
      </c>
      <c r="C523" s="1" t="s">
        <v>32</v>
      </c>
      <c r="D523" s="2">
        <v>70000</v>
      </c>
      <c r="E523" s="2" t="str">
        <f>IF(bike_buyers[[#This Row],[Income]]&lt;40000,"Under 40K", IF(bike_buyers[[#This Row],[Income]]&lt;60000,"40K-59K", IF(bike_buyers[[#This Row],[Income]]&lt;80000,"60K-79K", IF(bike_buyers[[#This Row],[Income]]&lt;100000,"80K-99K","100K+"))))</f>
        <v>60K-79K</v>
      </c>
      <c r="F523">
        <v>4</v>
      </c>
      <c r="G523" s="1" t="s">
        <v>12</v>
      </c>
      <c r="H523" s="1" t="s">
        <v>27</v>
      </c>
      <c r="I523" s="1" t="s">
        <v>14</v>
      </c>
      <c r="J523">
        <v>1</v>
      </c>
      <c r="K523" s="1" t="s">
        <v>25</v>
      </c>
      <c r="L523" s="1" t="s">
        <v>30</v>
      </c>
      <c r="M523">
        <v>58</v>
      </c>
      <c r="N523" s="1" t="str" cm="1">
        <f t="array" ref="N523">_xlfn.IFS(M523&lt;40, " Adult", M523&lt;60, "Middle Age", M523&gt;=60, "Older Adult")</f>
        <v>Middle Age</v>
      </c>
      <c r="O523" s="1" t="s">
        <v>17</v>
      </c>
      <c r="P523" s="1" t="b">
        <f>IF(O523="Yes", 1)</f>
        <v>0</v>
      </c>
      <c r="Q523" s="1"/>
    </row>
    <row r="524" spans="1:17" x14ac:dyDescent="0.25">
      <c r="A524">
        <v>25101</v>
      </c>
      <c r="B524" s="1" t="s">
        <v>31</v>
      </c>
      <c r="C524" s="1" t="s">
        <v>32</v>
      </c>
      <c r="D524" s="2">
        <v>60000</v>
      </c>
      <c r="E524" s="2" t="str">
        <f>IF(bike_buyers[[#This Row],[Income]]&lt;40000,"Under 40K", IF(bike_buyers[[#This Row],[Income]]&lt;60000,"40K-59K", IF(bike_buyers[[#This Row],[Income]]&lt;80000,"60K-79K", IF(bike_buyers[[#This Row],[Income]]&lt;100000,"80K-99K","100K+"))))</f>
        <v>60K-79K</v>
      </c>
      <c r="F524">
        <v>5</v>
      </c>
      <c r="G524" s="1" t="s">
        <v>12</v>
      </c>
      <c r="H524" s="1" t="s">
        <v>20</v>
      </c>
      <c r="I524" s="1" t="s">
        <v>14</v>
      </c>
      <c r="J524">
        <v>1</v>
      </c>
      <c r="K524" s="1" t="s">
        <v>21</v>
      </c>
      <c r="L524" s="1" t="s">
        <v>30</v>
      </c>
      <c r="M524">
        <v>47</v>
      </c>
      <c r="N524" s="1" t="str" cm="1">
        <f t="array" ref="N524">_xlfn.IFS(M524&lt;40, " Adult", M524&lt;60, "Middle Age", M524&gt;=60, "Older Adult")</f>
        <v>Middle Age</v>
      </c>
      <c r="O524" s="1" t="s">
        <v>17</v>
      </c>
      <c r="P524" s="1" t="b">
        <f>IF(O524="Yes", 1)</f>
        <v>0</v>
      </c>
      <c r="Q524" s="1"/>
    </row>
    <row r="525" spans="1:17" x14ac:dyDescent="0.25">
      <c r="A525">
        <v>21801</v>
      </c>
      <c r="B525" s="1" t="s">
        <v>31</v>
      </c>
      <c r="C525" s="1" t="s">
        <v>33</v>
      </c>
      <c r="D525" s="2">
        <v>70000</v>
      </c>
      <c r="E525" s="2" t="str">
        <f>IF(bike_buyers[[#This Row],[Income]]&lt;40000,"Under 40K", IF(bike_buyers[[#This Row],[Income]]&lt;60000,"40K-59K", IF(bike_buyers[[#This Row],[Income]]&lt;80000,"60K-79K", IF(bike_buyers[[#This Row],[Income]]&lt;100000,"80K-99K","100K+"))))</f>
        <v>60K-79K</v>
      </c>
      <c r="F525">
        <v>4</v>
      </c>
      <c r="G525" s="1" t="s">
        <v>18</v>
      </c>
      <c r="H525" s="1" t="s">
        <v>20</v>
      </c>
      <c r="I525" s="1" t="s">
        <v>14</v>
      </c>
      <c r="J525">
        <v>1</v>
      </c>
      <c r="K525" s="1" t="s">
        <v>25</v>
      </c>
      <c r="L525" s="1" t="s">
        <v>30</v>
      </c>
      <c r="M525">
        <v>55</v>
      </c>
      <c r="N525" s="1" t="str" cm="1">
        <f t="array" ref="N525">_xlfn.IFS(M525&lt;40, " Adult", M525&lt;60, "Middle Age", M525&gt;=60, "Older Adult")</f>
        <v>Middle Age</v>
      </c>
      <c r="O525" s="1" t="s">
        <v>17</v>
      </c>
      <c r="P525" s="1" t="b">
        <f>IF(O525="Yes", 1)</f>
        <v>0</v>
      </c>
      <c r="Q525" s="1"/>
    </row>
    <row r="526" spans="1:17" x14ac:dyDescent="0.25">
      <c r="A526">
        <v>25943</v>
      </c>
      <c r="B526" s="1" t="s">
        <v>34</v>
      </c>
      <c r="C526" s="1" t="s">
        <v>33</v>
      </c>
      <c r="D526" s="2">
        <v>70000</v>
      </c>
      <c r="E526" s="2" t="str">
        <f>IF(bike_buyers[[#This Row],[Income]]&lt;40000,"Under 40K", IF(bike_buyers[[#This Row],[Income]]&lt;60000,"40K-59K", IF(bike_buyers[[#This Row],[Income]]&lt;80000,"60K-79K", IF(bike_buyers[[#This Row],[Income]]&lt;100000,"80K-99K","100K+"))))</f>
        <v>60K-79K</v>
      </c>
      <c r="F526">
        <v>0</v>
      </c>
      <c r="G526" s="1" t="s">
        <v>18</v>
      </c>
      <c r="H526" s="1" t="s">
        <v>13</v>
      </c>
      <c r="I526" s="1" t="s">
        <v>17</v>
      </c>
      <c r="J526">
        <v>2</v>
      </c>
      <c r="K526" s="1" t="s">
        <v>15</v>
      </c>
      <c r="L526" s="1" t="s">
        <v>30</v>
      </c>
      <c r="M526">
        <v>27</v>
      </c>
      <c r="N526" s="1" t="str" cm="1">
        <f t="array" ref="N526">_xlfn.IFS(M526&lt;40, " Adult", M526&lt;60, "Middle Age", M526&gt;=60, "Older Adult")</f>
        <v xml:space="preserve"> Adult</v>
      </c>
      <c r="O526" s="1" t="s">
        <v>14</v>
      </c>
      <c r="P526" s="1">
        <f>IF(O526="Yes", 1)</f>
        <v>1</v>
      </c>
      <c r="Q526" s="1"/>
    </row>
    <row r="527" spans="1:17" x14ac:dyDescent="0.25">
      <c r="A527">
        <v>22127</v>
      </c>
      <c r="B527" s="1" t="s">
        <v>31</v>
      </c>
      <c r="C527" s="1" t="s">
        <v>32</v>
      </c>
      <c r="D527" s="2">
        <v>60000</v>
      </c>
      <c r="E527" s="2" t="str">
        <f>IF(bike_buyers[[#This Row],[Income]]&lt;40000,"Under 40K", IF(bike_buyers[[#This Row],[Income]]&lt;60000,"40K-59K", IF(bike_buyers[[#This Row],[Income]]&lt;80000,"60K-79K", IF(bike_buyers[[#This Row],[Income]]&lt;100000,"80K-99K","100K+"))))</f>
        <v>60K-79K</v>
      </c>
      <c r="F527">
        <v>3</v>
      </c>
      <c r="G527" s="1" t="s">
        <v>29</v>
      </c>
      <c r="H527" s="1" t="s">
        <v>27</v>
      </c>
      <c r="I527" s="1" t="s">
        <v>14</v>
      </c>
      <c r="J527">
        <v>2</v>
      </c>
      <c r="K527" s="1" t="s">
        <v>25</v>
      </c>
      <c r="L527" s="1" t="s">
        <v>30</v>
      </c>
      <c r="M527">
        <v>67</v>
      </c>
      <c r="N527" s="1" t="str" cm="1">
        <f t="array" ref="N527">_xlfn.IFS(M527&lt;40, " Adult", M527&lt;60, "Middle Age", M527&gt;=60, "Older Adult")</f>
        <v>Older Adult</v>
      </c>
      <c r="O527" s="1" t="s">
        <v>17</v>
      </c>
      <c r="P527" s="1" t="b">
        <f>IF(O527="Yes", 1)</f>
        <v>0</v>
      </c>
      <c r="Q527" s="1"/>
    </row>
    <row r="528" spans="1:17" x14ac:dyDescent="0.25">
      <c r="A528">
        <v>20414</v>
      </c>
      <c r="B528" s="1" t="s">
        <v>31</v>
      </c>
      <c r="C528" s="1" t="s">
        <v>33</v>
      </c>
      <c r="D528" s="2">
        <v>60000</v>
      </c>
      <c r="E528" s="2" t="str">
        <f>IF(bike_buyers[[#This Row],[Income]]&lt;40000,"Under 40K", IF(bike_buyers[[#This Row],[Income]]&lt;60000,"40K-59K", IF(bike_buyers[[#This Row],[Income]]&lt;80000,"60K-79K", IF(bike_buyers[[#This Row],[Income]]&lt;100000,"80K-99K","100K+"))))</f>
        <v>60K-79K</v>
      </c>
      <c r="F528">
        <v>0</v>
      </c>
      <c r="G528" s="1" t="s">
        <v>18</v>
      </c>
      <c r="H528" s="1" t="s">
        <v>13</v>
      </c>
      <c r="I528" s="1" t="s">
        <v>14</v>
      </c>
      <c r="J528">
        <v>2</v>
      </c>
      <c r="K528" s="1" t="s">
        <v>22</v>
      </c>
      <c r="L528" s="1" t="s">
        <v>30</v>
      </c>
      <c r="M528">
        <v>29</v>
      </c>
      <c r="N528" s="1" t="str" cm="1">
        <f t="array" ref="N528">_xlfn.IFS(M528&lt;40, " Adult", M528&lt;60, "Middle Age", M528&gt;=60, "Older Adult")</f>
        <v xml:space="preserve"> Adult</v>
      </c>
      <c r="O528" s="1" t="s">
        <v>17</v>
      </c>
      <c r="P528" s="1" t="b">
        <f>IF(O528="Yes", 1)</f>
        <v>0</v>
      </c>
      <c r="Q528" s="1"/>
    </row>
    <row r="529" spans="1:17" x14ac:dyDescent="0.25">
      <c r="A529">
        <v>23672</v>
      </c>
      <c r="B529" s="1" t="s">
        <v>31</v>
      </c>
      <c r="C529" s="1" t="s">
        <v>33</v>
      </c>
      <c r="D529" s="2">
        <v>60000</v>
      </c>
      <c r="E529" s="2" t="str">
        <f>IF(bike_buyers[[#This Row],[Income]]&lt;40000,"Under 40K", IF(bike_buyers[[#This Row],[Income]]&lt;60000,"40K-59K", IF(bike_buyers[[#This Row],[Income]]&lt;80000,"60K-79K", IF(bike_buyers[[#This Row],[Income]]&lt;100000,"80K-99K","100K+"))))</f>
        <v>60K-79K</v>
      </c>
      <c r="F529">
        <v>3</v>
      </c>
      <c r="G529" s="1" t="s">
        <v>29</v>
      </c>
      <c r="H529" s="1" t="s">
        <v>27</v>
      </c>
      <c r="I529" s="1" t="s">
        <v>14</v>
      </c>
      <c r="J529">
        <v>2</v>
      </c>
      <c r="K529" s="1" t="s">
        <v>25</v>
      </c>
      <c r="L529" s="1" t="s">
        <v>30</v>
      </c>
      <c r="M529">
        <v>67</v>
      </c>
      <c r="N529" s="1" t="str" cm="1">
        <f t="array" ref="N529">_xlfn.IFS(M529&lt;40, " Adult", M529&lt;60, "Middle Age", M529&gt;=60, "Older Adult")</f>
        <v>Older Adult</v>
      </c>
      <c r="O529" s="1" t="s">
        <v>17</v>
      </c>
      <c r="P529" s="1" t="b">
        <f>IF(O529="Yes", 1)</f>
        <v>0</v>
      </c>
      <c r="Q529" s="1"/>
    </row>
    <row r="530" spans="1:17" x14ac:dyDescent="0.25">
      <c r="A530">
        <v>27643</v>
      </c>
      <c r="B530" s="1" t="s">
        <v>34</v>
      </c>
      <c r="C530" s="1" t="s">
        <v>32</v>
      </c>
      <c r="D530" s="2">
        <v>70000</v>
      </c>
      <c r="E530" s="2" t="str">
        <f>IF(bike_buyers[[#This Row],[Income]]&lt;40000,"Under 40K", IF(bike_buyers[[#This Row],[Income]]&lt;60000,"40K-59K", IF(bike_buyers[[#This Row],[Income]]&lt;80000,"60K-79K", IF(bike_buyers[[#This Row],[Income]]&lt;100000,"80K-99K","100K+"))))</f>
        <v>60K-79K</v>
      </c>
      <c r="F530">
        <v>5</v>
      </c>
      <c r="G530" s="1" t="s">
        <v>18</v>
      </c>
      <c r="H530" s="1" t="s">
        <v>20</v>
      </c>
      <c r="I530" s="1" t="s">
        <v>14</v>
      </c>
      <c r="J530">
        <v>3</v>
      </c>
      <c r="K530" s="1" t="s">
        <v>21</v>
      </c>
      <c r="L530" s="1" t="s">
        <v>30</v>
      </c>
      <c r="M530">
        <v>44</v>
      </c>
      <c r="N530" s="1" t="str" cm="1">
        <f t="array" ref="N530">_xlfn.IFS(M530&lt;40, " Adult", M530&lt;60, "Middle Age", M530&gt;=60, "Older Adult")</f>
        <v>Middle Age</v>
      </c>
      <c r="O530" s="1" t="s">
        <v>17</v>
      </c>
      <c r="P530" s="1" t="b">
        <f>IF(O530="Yes", 1)</f>
        <v>0</v>
      </c>
      <c r="Q530" s="1"/>
    </row>
    <row r="531" spans="1:17" x14ac:dyDescent="0.25">
      <c r="A531">
        <v>27388</v>
      </c>
      <c r="B531" s="1" t="s">
        <v>31</v>
      </c>
      <c r="C531" s="1" t="s">
        <v>32</v>
      </c>
      <c r="D531" s="2">
        <v>60000</v>
      </c>
      <c r="E531" s="2" t="str">
        <f>IF(bike_buyers[[#This Row],[Income]]&lt;40000,"Under 40K", IF(bike_buyers[[#This Row],[Income]]&lt;60000,"40K-59K", IF(bike_buyers[[#This Row],[Income]]&lt;80000,"60K-79K", IF(bike_buyers[[#This Row],[Income]]&lt;100000,"80K-99K","100K+"))))</f>
        <v>60K-79K</v>
      </c>
      <c r="F531">
        <v>3</v>
      </c>
      <c r="G531" s="1" t="s">
        <v>12</v>
      </c>
      <c r="H531" s="1" t="s">
        <v>27</v>
      </c>
      <c r="I531" s="1" t="s">
        <v>17</v>
      </c>
      <c r="J531">
        <v>2</v>
      </c>
      <c r="K531" s="1" t="s">
        <v>25</v>
      </c>
      <c r="L531" s="1" t="s">
        <v>30</v>
      </c>
      <c r="M531">
        <v>66</v>
      </c>
      <c r="N531" s="1" t="str" cm="1">
        <f t="array" ref="N531">_xlfn.IFS(M531&lt;40, " Adult", M531&lt;60, "Middle Age", M531&gt;=60, "Older Adult")</f>
        <v>Older Adult</v>
      </c>
      <c r="O531" s="1" t="s">
        <v>17</v>
      </c>
      <c r="P531" s="1" t="b">
        <f>IF(O531="Yes", 1)</f>
        <v>0</v>
      </c>
      <c r="Q531" s="1"/>
    </row>
    <row r="532" spans="1:17" x14ac:dyDescent="0.25">
      <c r="A532">
        <v>18949</v>
      </c>
      <c r="B532" s="1" t="s">
        <v>34</v>
      </c>
      <c r="C532" s="1" t="s">
        <v>32</v>
      </c>
      <c r="D532" s="2">
        <v>70000</v>
      </c>
      <c r="E532" s="2" t="str">
        <f>IF(bike_buyers[[#This Row],[Income]]&lt;40000,"Under 40K", IF(bike_buyers[[#This Row],[Income]]&lt;60000,"40K-59K", IF(bike_buyers[[#This Row],[Income]]&lt;80000,"60K-79K", IF(bike_buyers[[#This Row],[Income]]&lt;100000,"80K-99K","100K+"))))</f>
        <v>60K-79K</v>
      </c>
      <c r="F532">
        <v>0</v>
      </c>
      <c r="G532" s="1" t="s">
        <v>29</v>
      </c>
      <c r="H532" s="1" t="s">
        <v>27</v>
      </c>
      <c r="I532" s="1" t="s">
        <v>14</v>
      </c>
      <c r="J532">
        <v>2</v>
      </c>
      <c r="K532" s="1" t="s">
        <v>22</v>
      </c>
      <c r="L532" s="1" t="s">
        <v>30</v>
      </c>
      <c r="M532">
        <v>74</v>
      </c>
      <c r="N532" s="1" t="str" cm="1">
        <f t="array" ref="N532">_xlfn.IFS(M532&lt;40, " Adult", M532&lt;60, "Middle Age", M532&gt;=60, "Older Adult")</f>
        <v>Older Adult</v>
      </c>
      <c r="O532" s="1" t="s">
        <v>14</v>
      </c>
      <c r="P532" s="1">
        <f>IF(O532="Yes", 1)</f>
        <v>1</v>
      </c>
      <c r="Q532" s="1"/>
    </row>
    <row r="533" spans="1:17" x14ac:dyDescent="0.25">
      <c r="A533">
        <v>25886</v>
      </c>
      <c r="B533" s="1" t="s">
        <v>31</v>
      </c>
      <c r="C533" s="1" t="s">
        <v>33</v>
      </c>
      <c r="D533" s="2">
        <v>60000</v>
      </c>
      <c r="E533" s="2" t="str">
        <f>IF(bike_buyers[[#This Row],[Income]]&lt;40000,"Under 40K", IF(bike_buyers[[#This Row],[Income]]&lt;60000,"40K-59K", IF(bike_buyers[[#This Row],[Income]]&lt;80000,"60K-79K", IF(bike_buyers[[#This Row],[Income]]&lt;100000,"80K-99K","100K+"))))</f>
        <v>60K-79K</v>
      </c>
      <c r="F533">
        <v>2</v>
      </c>
      <c r="G533" s="1" t="s">
        <v>18</v>
      </c>
      <c r="H533" s="1" t="s">
        <v>20</v>
      </c>
      <c r="I533" s="1" t="s">
        <v>14</v>
      </c>
      <c r="J533">
        <v>2</v>
      </c>
      <c r="K533" s="1" t="s">
        <v>21</v>
      </c>
      <c r="L533" s="1" t="s">
        <v>30</v>
      </c>
      <c r="M533">
        <v>56</v>
      </c>
      <c r="N533" s="1" t="str" cm="1">
        <f t="array" ref="N533">_xlfn.IFS(M533&lt;40, " Adult", M533&lt;60, "Middle Age", M533&gt;=60, "Older Adult")</f>
        <v>Middle Age</v>
      </c>
      <c r="O533" s="1" t="s">
        <v>14</v>
      </c>
      <c r="P533" s="1">
        <f>IF(O533="Yes", 1)</f>
        <v>1</v>
      </c>
      <c r="Q533" s="1"/>
    </row>
    <row r="534" spans="1:17" x14ac:dyDescent="0.25">
      <c r="A534">
        <v>21741</v>
      </c>
      <c r="B534" s="1" t="s">
        <v>31</v>
      </c>
      <c r="C534" s="1" t="s">
        <v>33</v>
      </c>
      <c r="D534" s="2">
        <v>70000</v>
      </c>
      <c r="E534" s="2" t="str">
        <f>IF(bike_buyers[[#This Row],[Income]]&lt;40000,"Under 40K", IF(bike_buyers[[#This Row],[Income]]&lt;60000,"40K-59K", IF(bike_buyers[[#This Row],[Income]]&lt;80000,"60K-79K", IF(bike_buyers[[#This Row],[Income]]&lt;100000,"80K-99K","100K+"))))</f>
        <v>60K-79K</v>
      </c>
      <c r="F534">
        <v>3</v>
      </c>
      <c r="G534" s="1" t="s">
        <v>18</v>
      </c>
      <c r="H534" s="1" t="s">
        <v>20</v>
      </c>
      <c r="I534" s="1" t="s">
        <v>14</v>
      </c>
      <c r="J534">
        <v>2</v>
      </c>
      <c r="K534" s="1" t="s">
        <v>22</v>
      </c>
      <c r="L534" s="1" t="s">
        <v>30</v>
      </c>
      <c r="M534">
        <v>50</v>
      </c>
      <c r="N534" s="1" t="str" cm="1">
        <f t="array" ref="N534">_xlfn.IFS(M534&lt;40, " Adult", M534&lt;60, "Middle Age", M534&gt;=60, "Older Adult")</f>
        <v>Middle Age</v>
      </c>
      <c r="O534" s="1" t="s">
        <v>14</v>
      </c>
      <c r="P534" s="1">
        <f>IF(O534="Yes", 1)</f>
        <v>1</v>
      </c>
      <c r="Q534" s="1"/>
    </row>
    <row r="535" spans="1:17" x14ac:dyDescent="0.25">
      <c r="A535">
        <v>14572</v>
      </c>
      <c r="B535" s="1" t="s">
        <v>31</v>
      </c>
      <c r="C535" s="1" t="s">
        <v>33</v>
      </c>
      <c r="D535" s="2">
        <v>70000</v>
      </c>
      <c r="E535" s="2" t="str">
        <f>IF(bike_buyers[[#This Row],[Income]]&lt;40000,"Under 40K", IF(bike_buyers[[#This Row],[Income]]&lt;60000,"40K-59K", IF(bike_buyers[[#This Row],[Income]]&lt;80000,"60K-79K", IF(bike_buyers[[#This Row],[Income]]&lt;100000,"80K-99K","100K+"))))</f>
        <v>60K-79K</v>
      </c>
      <c r="F535">
        <v>3</v>
      </c>
      <c r="G535" s="1" t="s">
        <v>29</v>
      </c>
      <c r="H535" s="1" t="s">
        <v>20</v>
      </c>
      <c r="I535" s="1" t="s">
        <v>14</v>
      </c>
      <c r="J535">
        <v>0</v>
      </c>
      <c r="K535" s="1" t="s">
        <v>21</v>
      </c>
      <c r="L535" s="1" t="s">
        <v>30</v>
      </c>
      <c r="M535">
        <v>35</v>
      </c>
      <c r="N535" s="1" t="str" cm="1">
        <f t="array" ref="N535">_xlfn.IFS(M535&lt;40, " Adult", M535&lt;60, "Middle Age", M535&gt;=60, "Older Adult")</f>
        <v xml:space="preserve"> Adult</v>
      </c>
      <c r="O535" s="1" t="s">
        <v>14</v>
      </c>
      <c r="P535" s="1">
        <f>IF(O535="Yes", 1)</f>
        <v>1</v>
      </c>
      <c r="Q535" s="1"/>
    </row>
    <row r="536" spans="1:17" x14ac:dyDescent="0.25">
      <c r="A536">
        <v>23368</v>
      </c>
      <c r="B536" s="1" t="s">
        <v>31</v>
      </c>
      <c r="C536" s="1" t="s">
        <v>33</v>
      </c>
      <c r="D536" s="2">
        <v>60000</v>
      </c>
      <c r="E536" s="2" t="str">
        <f>IF(bike_buyers[[#This Row],[Income]]&lt;40000,"Under 40K", IF(bike_buyers[[#This Row],[Income]]&lt;60000,"40K-59K", IF(bike_buyers[[#This Row],[Income]]&lt;80000,"60K-79K", IF(bike_buyers[[#This Row],[Income]]&lt;100000,"80K-99K","100K+"))))</f>
        <v>60K-79K</v>
      </c>
      <c r="F536">
        <v>5</v>
      </c>
      <c r="G536" s="1" t="s">
        <v>12</v>
      </c>
      <c r="H536" s="1" t="s">
        <v>13</v>
      </c>
      <c r="I536" s="1" t="s">
        <v>14</v>
      </c>
      <c r="J536">
        <v>3</v>
      </c>
      <c r="K536" s="1" t="s">
        <v>62</v>
      </c>
      <c r="L536" s="1" t="s">
        <v>30</v>
      </c>
      <c r="M536">
        <v>41</v>
      </c>
      <c r="N536" s="1" t="str" cm="1">
        <f t="array" ref="N536">_xlfn.IFS(M536&lt;40, " Adult", M536&lt;60, "Middle Age", M536&gt;=60, "Older Adult")</f>
        <v>Middle Age</v>
      </c>
      <c r="O536" s="1" t="s">
        <v>17</v>
      </c>
      <c r="P536" s="1" t="b">
        <f>IF(O536="Yes", 1)</f>
        <v>0</v>
      </c>
      <c r="Q536" s="1"/>
    </row>
    <row r="537" spans="1:17" x14ac:dyDescent="0.25">
      <c r="A537">
        <v>16217</v>
      </c>
      <c r="B537" s="1" t="s">
        <v>34</v>
      </c>
      <c r="C537" s="1" t="s">
        <v>33</v>
      </c>
      <c r="D537" s="2">
        <v>60000</v>
      </c>
      <c r="E537" s="2" t="str">
        <f>IF(bike_buyers[[#This Row],[Income]]&lt;40000,"Under 40K", IF(bike_buyers[[#This Row],[Income]]&lt;60000,"40K-59K", IF(bike_buyers[[#This Row],[Income]]&lt;80000,"60K-79K", IF(bike_buyers[[#This Row],[Income]]&lt;100000,"80K-99K","100K+"))))</f>
        <v>60K-79K</v>
      </c>
      <c r="F537">
        <v>0</v>
      </c>
      <c r="G537" s="1" t="s">
        <v>29</v>
      </c>
      <c r="H537" s="1" t="s">
        <v>13</v>
      </c>
      <c r="I537" s="1" t="s">
        <v>14</v>
      </c>
      <c r="J537">
        <v>0</v>
      </c>
      <c r="K537" s="1" t="s">
        <v>15</v>
      </c>
      <c r="L537" s="1" t="s">
        <v>30</v>
      </c>
      <c r="M537">
        <v>39</v>
      </c>
      <c r="N537" s="1" t="str" cm="1">
        <f t="array" ref="N537">_xlfn.IFS(M537&lt;40, " Adult", M537&lt;60, "Middle Age", M537&gt;=60, "Older Adult")</f>
        <v xml:space="preserve"> Adult</v>
      </c>
      <c r="O537" s="1" t="s">
        <v>17</v>
      </c>
      <c r="P537" s="1" t="b">
        <f>IF(O537="Yes", 1)</f>
        <v>0</v>
      </c>
      <c r="Q537" s="1"/>
    </row>
    <row r="538" spans="1:17" x14ac:dyDescent="0.25">
      <c r="A538">
        <v>16247</v>
      </c>
      <c r="B538" s="1" t="s">
        <v>34</v>
      </c>
      <c r="C538" s="1" t="s">
        <v>33</v>
      </c>
      <c r="D538" s="2">
        <v>60000</v>
      </c>
      <c r="E538" s="2" t="str">
        <f>IF(bike_buyers[[#This Row],[Income]]&lt;40000,"Under 40K", IF(bike_buyers[[#This Row],[Income]]&lt;60000,"40K-59K", IF(bike_buyers[[#This Row],[Income]]&lt;80000,"60K-79K", IF(bike_buyers[[#This Row],[Income]]&lt;100000,"80K-99K","100K+"))))</f>
        <v>60K-79K</v>
      </c>
      <c r="F538">
        <v>4</v>
      </c>
      <c r="G538" s="1" t="s">
        <v>29</v>
      </c>
      <c r="H538" s="1" t="s">
        <v>13</v>
      </c>
      <c r="I538" s="1" t="s">
        <v>17</v>
      </c>
      <c r="J538">
        <v>0</v>
      </c>
      <c r="K538" s="1" t="s">
        <v>25</v>
      </c>
      <c r="L538" s="1" t="s">
        <v>30</v>
      </c>
      <c r="M538">
        <v>47</v>
      </c>
      <c r="N538" s="1" t="str" cm="1">
        <f t="array" ref="N538">_xlfn.IFS(M538&lt;40, " Adult", M538&lt;60, "Middle Age", M538&gt;=60, "Older Adult")</f>
        <v>Middle Age</v>
      </c>
      <c r="O538" s="1" t="s">
        <v>17</v>
      </c>
      <c r="P538" s="1" t="b">
        <f>IF(O538="Yes", 1)</f>
        <v>0</v>
      </c>
      <c r="Q538" s="1"/>
    </row>
    <row r="539" spans="1:17" x14ac:dyDescent="0.25">
      <c r="A539">
        <v>25872</v>
      </c>
      <c r="B539" s="1" t="s">
        <v>34</v>
      </c>
      <c r="C539" s="1" t="s">
        <v>33</v>
      </c>
      <c r="D539" s="2">
        <v>70000</v>
      </c>
      <c r="E539" s="2" t="str">
        <f>IF(bike_buyers[[#This Row],[Income]]&lt;40000,"Under 40K", IF(bike_buyers[[#This Row],[Income]]&lt;60000,"40K-59K", IF(bike_buyers[[#This Row],[Income]]&lt;80000,"60K-79K", IF(bike_buyers[[#This Row],[Income]]&lt;100000,"80K-99K","100K+"))))</f>
        <v>60K-79K</v>
      </c>
      <c r="F539">
        <v>2</v>
      </c>
      <c r="G539" s="1" t="s">
        <v>12</v>
      </c>
      <c r="H539" s="1" t="s">
        <v>27</v>
      </c>
      <c r="I539" s="1" t="s">
        <v>17</v>
      </c>
      <c r="J539">
        <v>1</v>
      </c>
      <c r="K539" s="1" t="s">
        <v>21</v>
      </c>
      <c r="L539" s="1" t="s">
        <v>30</v>
      </c>
      <c r="M539">
        <v>58</v>
      </c>
      <c r="N539" s="1" t="str" cm="1">
        <f t="array" ref="N539">_xlfn.IFS(M539&lt;40, " Adult", M539&lt;60, "Middle Age", M539&gt;=60, "Older Adult")</f>
        <v>Middle Age</v>
      </c>
      <c r="O539" s="1" t="s">
        <v>14</v>
      </c>
      <c r="P539" s="1">
        <f>IF(O539="Yes", 1)</f>
        <v>1</v>
      </c>
      <c r="Q539" s="1"/>
    </row>
    <row r="540" spans="1:17" x14ac:dyDescent="0.25">
      <c r="A540">
        <v>19164</v>
      </c>
      <c r="B540" s="1" t="s">
        <v>34</v>
      </c>
      <c r="C540" s="1" t="s">
        <v>33</v>
      </c>
      <c r="D540" s="2">
        <v>70000</v>
      </c>
      <c r="E540" s="2" t="str">
        <f>IF(bike_buyers[[#This Row],[Income]]&lt;40000,"Under 40K", IF(bike_buyers[[#This Row],[Income]]&lt;60000,"40K-59K", IF(bike_buyers[[#This Row],[Income]]&lt;80000,"60K-79K", IF(bike_buyers[[#This Row],[Income]]&lt;100000,"80K-99K","100K+"))))</f>
        <v>60K-79K</v>
      </c>
      <c r="F540">
        <v>0</v>
      </c>
      <c r="G540" s="1" t="s">
        <v>12</v>
      </c>
      <c r="H540" s="1" t="s">
        <v>20</v>
      </c>
      <c r="I540" s="1" t="s">
        <v>17</v>
      </c>
      <c r="J540">
        <v>1</v>
      </c>
      <c r="K540" s="1" t="s">
        <v>21</v>
      </c>
      <c r="L540" s="1" t="s">
        <v>30</v>
      </c>
      <c r="M540">
        <v>38</v>
      </c>
      <c r="N540" s="1" t="str" cm="1">
        <f t="array" ref="N540">_xlfn.IFS(M540&lt;40, " Adult", M540&lt;60, "Middle Age", M540&gt;=60, "Older Adult")</f>
        <v xml:space="preserve"> Adult</v>
      </c>
      <c r="O540" s="1" t="s">
        <v>14</v>
      </c>
      <c r="P540" s="1">
        <f>IF(O540="Yes", 1)</f>
        <v>1</v>
      </c>
      <c r="Q540" s="1"/>
    </row>
    <row r="541" spans="1:17" x14ac:dyDescent="0.25">
      <c r="A541">
        <v>18435</v>
      </c>
      <c r="B541" s="1" t="s">
        <v>34</v>
      </c>
      <c r="C541" s="1" t="s">
        <v>33</v>
      </c>
      <c r="D541" s="2">
        <v>70000</v>
      </c>
      <c r="E541" s="2" t="str">
        <f>IF(bike_buyers[[#This Row],[Income]]&lt;40000,"Under 40K", IF(bike_buyers[[#This Row],[Income]]&lt;60000,"40K-59K", IF(bike_buyers[[#This Row],[Income]]&lt;80000,"60K-79K", IF(bike_buyers[[#This Row],[Income]]&lt;100000,"80K-99K","100K+"))))</f>
        <v>60K-79K</v>
      </c>
      <c r="F541">
        <v>5</v>
      </c>
      <c r="G541" s="1" t="s">
        <v>29</v>
      </c>
      <c r="H541" s="1" t="s">
        <v>27</v>
      </c>
      <c r="I541" s="1" t="s">
        <v>14</v>
      </c>
      <c r="J541">
        <v>2</v>
      </c>
      <c r="K541" s="1" t="s">
        <v>62</v>
      </c>
      <c r="L541" s="1" t="s">
        <v>30</v>
      </c>
      <c r="M541">
        <v>67</v>
      </c>
      <c r="N541" s="1" t="str" cm="1">
        <f t="array" ref="N541">_xlfn.IFS(M541&lt;40, " Adult", M541&lt;60, "Middle Age", M541&gt;=60, "Older Adult")</f>
        <v>Older Adult</v>
      </c>
      <c r="O541" s="1" t="s">
        <v>14</v>
      </c>
      <c r="P541" s="1">
        <f>IF(O541="Yes", 1)</f>
        <v>1</v>
      </c>
      <c r="Q541" s="1"/>
    </row>
    <row r="542" spans="1:17" x14ac:dyDescent="0.25">
      <c r="A542">
        <v>14284</v>
      </c>
      <c r="B542" s="1" t="s">
        <v>34</v>
      </c>
      <c r="C542" s="1" t="s">
        <v>32</v>
      </c>
      <c r="D542" s="2">
        <v>60000</v>
      </c>
      <c r="E542" s="2" t="str">
        <f>IF(bike_buyers[[#This Row],[Income]]&lt;40000,"Under 40K", IF(bike_buyers[[#This Row],[Income]]&lt;60000,"40K-59K", IF(bike_buyers[[#This Row],[Income]]&lt;80000,"60K-79K", IF(bike_buyers[[#This Row],[Income]]&lt;100000,"80K-99K","100K+"))))</f>
        <v>60K-79K</v>
      </c>
      <c r="F542">
        <v>0</v>
      </c>
      <c r="G542" s="1" t="s">
        <v>18</v>
      </c>
      <c r="H542" s="1" t="s">
        <v>20</v>
      </c>
      <c r="I542" s="1" t="s">
        <v>17</v>
      </c>
      <c r="J542">
        <v>2</v>
      </c>
      <c r="K542" s="1" t="s">
        <v>25</v>
      </c>
      <c r="L542" s="1" t="s">
        <v>30</v>
      </c>
      <c r="M542">
        <v>32</v>
      </c>
      <c r="N542" s="1" t="str" cm="1">
        <f t="array" ref="N542">_xlfn.IFS(M542&lt;40, " Adult", M542&lt;60, "Middle Age", M542&gt;=60, "Older Adult")</f>
        <v xml:space="preserve"> Adult</v>
      </c>
      <c r="O542" s="1" t="s">
        <v>14</v>
      </c>
      <c r="P542" s="1">
        <f>IF(O542="Yes", 1)</f>
        <v>1</v>
      </c>
      <c r="Q542" s="1"/>
    </row>
    <row r="543" spans="1:17" x14ac:dyDescent="0.25">
      <c r="A543">
        <v>11287</v>
      </c>
      <c r="B543" s="1" t="s">
        <v>31</v>
      </c>
      <c r="C543" s="1" t="s">
        <v>32</v>
      </c>
      <c r="D543" s="2">
        <v>70000</v>
      </c>
      <c r="E543" s="2" t="str">
        <f>IF(bike_buyers[[#This Row],[Income]]&lt;40000,"Under 40K", IF(bike_buyers[[#This Row],[Income]]&lt;60000,"40K-59K", IF(bike_buyers[[#This Row],[Income]]&lt;80000,"60K-79K", IF(bike_buyers[[#This Row],[Income]]&lt;100000,"80K-99K","100K+"))))</f>
        <v>60K-79K</v>
      </c>
      <c r="F543">
        <v>5</v>
      </c>
      <c r="G543" s="1" t="s">
        <v>18</v>
      </c>
      <c r="H543" s="1" t="s">
        <v>20</v>
      </c>
      <c r="I543" s="1" t="s">
        <v>17</v>
      </c>
      <c r="J543">
        <v>3</v>
      </c>
      <c r="K543" s="1" t="s">
        <v>22</v>
      </c>
      <c r="L543" s="1" t="s">
        <v>30</v>
      </c>
      <c r="M543">
        <v>45</v>
      </c>
      <c r="N543" s="1" t="str" cm="1">
        <f t="array" ref="N543">_xlfn.IFS(M543&lt;40, " Adult", M543&lt;60, "Middle Age", M543&gt;=60, "Older Adult")</f>
        <v>Middle Age</v>
      </c>
      <c r="O543" s="1" t="s">
        <v>17</v>
      </c>
      <c r="P543" s="1" t="b">
        <f>IF(O543="Yes", 1)</f>
        <v>0</v>
      </c>
      <c r="Q543" s="1"/>
    </row>
    <row r="544" spans="1:17" x14ac:dyDescent="0.25">
      <c r="A544">
        <v>17531</v>
      </c>
      <c r="B544" s="1" t="s">
        <v>31</v>
      </c>
      <c r="C544" s="1" t="s">
        <v>32</v>
      </c>
      <c r="D544" s="2">
        <v>60000</v>
      </c>
      <c r="E544" s="2" t="str">
        <f>IF(bike_buyers[[#This Row],[Income]]&lt;40000,"Under 40K", IF(bike_buyers[[#This Row],[Income]]&lt;60000,"40K-59K", IF(bike_buyers[[#This Row],[Income]]&lt;80000,"60K-79K", IF(bike_buyers[[#This Row],[Income]]&lt;100000,"80K-99K","100K+"))))</f>
        <v>60K-79K</v>
      </c>
      <c r="F544">
        <v>2</v>
      </c>
      <c r="G544" s="1" t="s">
        <v>26</v>
      </c>
      <c r="H544" s="1" t="s">
        <v>20</v>
      </c>
      <c r="I544" s="1" t="s">
        <v>17</v>
      </c>
      <c r="J544">
        <v>2</v>
      </c>
      <c r="K544" s="1" t="s">
        <v>22</v>
      </c>
      <c r="L544" s="1" t="s">
        <v>30</v>
      </c>
      <c r="M544">
        <v>50</v>
      </c>
      <c r="N544" s="1" t="str" cm="1">
        <f t="array" ref="N544">_xlfn.IFS(M544&lt;40, " Adult", M544&lt;60, "Middle Age", M544&gt;=60, "Older Adult")</f>
        <v>Middle Age</v>
      </c>
      <c r="O544" s="1" t="s">
        <v>17</v>
      </c>
      <c r="P544" s="1" t="b">
        <f>IF(O544="Yes", 1)</f>
        <v>0</v>
      </c>
      <c r="Q544" s="1"/>
    </row>
    <row r="545" spans="1:17" x14ac:dyDescent="0.25">
      <c r="A545">
        <v>12964</v>
      </c>
      <c r="B545" s="1" t="s">
        <v>31</v>
      </c>
      <c r="C545" s="1" t="s">
        <v>32</v>
      </c>
      <c r="D545" s="2">
        <v>70000</v>
      </c>
      <c r="E545" s="2" t="str">
        <f>IF(bike_buyers[[#This Row],[Income]]&lt;40000,"Under 40K", IF(bike_buyers[[#This Row],[Income]]&lt;60000,"40K-59K", IF(bike_buyers[[#This Row],[Income]]&lt;80000,"60K-79K", IF(bike_buyers[[#This Row],[Income]]&lt;100000,"80K-99K","100K+"))))</f>
        <v>60K-79K</v>
      </c>
      <c r="F545">
        <v>1</v>
      </c>
      <c r="G545" s="1" t="s">
        <v>18</v>
      </c>
      <c r="H545" s="1" t="s">
        <v>13</v>
      </c>
      <c r="I545" s="1" t="s">
        <v>14</v>
      </c>
      <c r="J545">
        <v>1</v>
      </c>
      <c r="K545" s="1" t="s">
        <v>15</v>
      </c>
      <c r="L545" s="1" t="s">
        <v>30</v>
      </c>
      <c r="M545">
        <v>44</v>
      </c>
      <c r="N545" s="1" t="str" cm="1">
        <f t="array" ref="N545">_xlfn.IFS(M545&lt;40, " Adult", M545&lt;60, "Middle Age", M545&gt;=60, "Older Adult")</f>
        <v>Middle Age</v>
      </c>
      <c r="O545" s="1" t="s">
        <v>17</v>
      </c>
      <c r="P545" s="1" t="b">
        <f>IF(O545="Yes", 1)</f>
        <v>0</v>
      </c>
      <c r="Q545" s="1"/>
    </row>
    <row r="546" spans="1:17" x14ac:dyDescent="0.25">
      <c r="A546">
        <v>24643</v>
      </c>
      <c r="B546" s="1" t="s">
        <v>34</v>
      </c>
      <c r="C546" s="1" t="s">
        <v>33</v>
      </c>
      <c r="D546" s="2">
        <v>60000</v>
      </c>
      <c r="E546" s="2" t="str">
        <f>IF(bike_buyers[[#This Row],[Income]]&lt;40000,"Under 40K", IF(bike_buyers[[#This Row],[Income]]&lt;60000,"40K-59K", IF(bike_buyers[[#This Row],[Income]]&lt;80000,"60K-79K", IF(bike_buyers[[#This Row],[Income]]&lt;100000,"80K-99K","100K+"))))</f>
        <v>60K-79K</v>
      </c>
      <c r="F546">
        <v>4</v>
      </c>
      <c r="G546" s="1" t="s">
        <v>12</v>
      </c>
      <c r="H546" s="1" t="s">
        <v>27</v>
      </c>
      <c r="I546" s="1" t="s">
        <v>14</v>
      </c>
      <c r="J546">
        <v>2</v>
      </c>
      <c r="K546" s="1" t="s">
        <v>62</v>
      </c>
      <c r="L546" s="1" t="s">
        <v>30</v>
      </c>
      <c r="M546">
        <v>63</v>
      </c>
      <c r="N546" s="1" t="str" cm="1">
        <f t="array" ref="N546">_xlfn.IFS(M546&lt;40, " Adult", M546&lt;60, "Middle Age", M546&gt;=60, "Older Adult")</f>
        <v>Older Adult</v>
      </c>
      <c r="O546" s="1" t="s">
        <v>17</v>
      </c>
      <c r="P546" s="1" t="b">
        <f>IF(O546="Yes", 1)</f>
        <v>0</v>
      </c>
      <c r="Q546" s="1"/>
    </row>
    <row r="547" spans="1:17" x14ac:dyDescent="0.25">
      <c r="A547">
        <v>21599</v>
      </c>
      <c r="B547" s="1" t="s">
        <v>31</v>
      </c>
      <c r="C547" s="1" t="s">
        <v>33</v>
      </c>
      <c r="D547" s="2">
        <v>60000</v>
      </c>
      <c r="E547" s="2" t="str">
        <f>IF(bike_buyers[[#This Row],[Income]]&lt;40000,"Under 40K", IF(bike_buyers[[#This Row],[Income]]&lt;60000,"40K-59K", IF(bike_buyers[[#This Row],[Income]]&lt;80000,"60K-79K", IF(bike_buyers[[#This Row],[Income]]&lt;100000,"80K-99K","100K+"))))</f>
        <v>60K-79K</v>
      </c>
      <c r="F547">
        <v>1</v>
      </c>
      <c r="G547" s="1" t="s">
        <v>29</v>
      </c>
      <c r="H547" s="1" t="s">
        <v>20</v>
      </c>
      <c r="I547" s="1" t="s">
        <v>14</v>
      </c>
      <c r="J547">
        <v>0</v>
      </c>
      <c r="K547" s="1" t="s">
        <v>21</v>
      </c>
      <c r="L547" s="1" t="s">
        <v>30</v>
      </c>
      <c r="M547">
        <v>36</v>
      </c>
      <c r="N547" s="1" t="str" cm="1">
        <f t="array" ref="N547">_xlfn.IFS(M547&lt;40, " Adult", M547&lt;60, "Middle Age", M547&gt;=60, "Older Adult")</f>
        <v xml:space="preserve"> Adult</v>
      </c>
      <c r="O547" s="1" t="s">
        <v>14</v>
      </c>
      <c r="P547" s="1">
        <f>IF(O547="Yes", 1)</f>
        <v>1</v>
      </c>
      <c r="Q547" s="1"/>
    </row>
    <row r="548" spans="1:17" x14ac:dyDescent="0.25">
      <c r="A548">
        <v>11890</v>
      </c>
      <c r="B548" s="1" t="s">
        <v>31</v>
      </c>
      <c r="C548" s="1" t="s">
        <v>33</v>
      </c>
      <c r="D548" s="2">
        <v>70000</v>
      </c>
      <c r="E548" s="2" t="str">
        <f>IF(bike_buyers[[#This Row],[Income]]&lt;40000,"Under 40K", IF(bike_buyers[[#This Row],[Income]]&lt;60000,"40K-59K", IF(bike_buyers[[#This Row],[Income]]&lt;80000,"60K-79K", IF(bike_buyers[[#This Row],[Income]]&lt;100000,"80K-99K","100K+"))))</f>
        <v>60K-79K</v>
      </c>
      <c r="F548">
        <v>5</v>
      </c>
      <c r="G548" s="1" t="s">
        <v>29</v>
      </c>
      <c r="H548" s="1" t="s">
        <v>20</v>
      </c>
      <c r="I548" s="1" t="s">
        <v>14</v>
      </c>
      <c r="J548">
        <v>1</v>
      </c>
      <c r="K548" s="1" t="s">
        <v>15</v>
      </c>
      <c r="L548" s="1" t="s">
        <v>30</v>
      </c>
      <c r="M548">
        <v>47</v>
      </c>
      <c r="N548" s="1" t="str" cm="1">
        <f t="array" ref="N548">_xlfn.IFS(M548&lt;40, " Adult", M548&lt;60, "Middle Age", M548&gt;=60, "Older Adult")</f>
        <v>Middle Age</v>
      </c>
      <c r="O548" s="1" t="s">
        <v>17</v>
      </c>
      <c r="P548" s="1" t="b">
        <f>IF(O548="Yes", 1)</f>
        <v>0</v>
      </c>
      <c r="Q548" s="1"/>
    </row>
    <row r="549" spans="1:17" x14ac:dyDescent="0.25">
      <c r="A549">
        <v>17864</v>
      </c>
      <c r="B549" s="1" t="s">
        <v>31</v>
      </c>
      <c r="C549" s="1" t="s">
        <v>33</v>
      </c>
      <c r="D549" s="2">
        <v>60000</v>
      </c>
      <c r="E549" s="2" t="str">
        <f>IF(bike_buyers[[#This Row],[Income]]&lt;40000,"Under 40K", IF(bike_buyers[[#This Row],[Income]]&lt;60000,"40K-59K", IF(bike_buyers[[#This Row],[Income]]&lt;80000,"60K-79K", IF(bike_buyers[[#This Row],[Income]]&lt;100000,"80K-99K","100K+"))))</f>
        <v>60K-79K</v>
      </c>
      <c r="F549">
        <v>1</v>
      </c>
      <c r="G549" s="1" t="s">
        <v>18</v>
      </c>
      <c r="H549" s="1" t="s">
        <v>13</v>
      </c>
      <c r="I549" s="1" t="s">
        <v>14</v>
      </c>
      <c r="J549">
        <v>1</v>
      </c>
      <c r="K549" s="1" t="s">
        <v>21</v>
      </c>
      <c r="L549" s="1" t="s">
        <v>30</v>
      </c>
      <c r="M549">
        <v>46</v>
      </c>
      <c r="N549" s="1" t="str" cm="1">
        <f t="array" ref="N549">_xlfn.IFS(M549&lt;40, " Adult", M549&lt;60, "Middle Age", M549&gt;=60, "Older Adult")</f>
        <v>Middle Age</v>
      </c>
      <c r="O549" s="1" t="s">
        <v>14</v>
      </c>
      <c r="P549" s="1">
        <f>IF(O549="Yes", 1)</f>
        <v>1</v>
      </c>
      <c r="Q549" s="1"/>
    </row>
    <row r="550" spans="1:17" x14ac:dyDescent="0.25">
      <c r="A550">
        <v>14592</v>
      </c>
      <c r="B550" s="1" t="s">
        <v>31</v>
      </c>
      <c r="C550" s="1" t="s">
        <v>33</v>
      </c>
      <c r="D550" s="2">
        <v>60000</v>
      </c>
      <c r="E550" s="2" t="str">
        <f>IF(bike_buyers[[#This Row],[Income]]&lt;40000,"Under 40K", IF(bike_buyers[[#This Row],[Income]]&lt;60000,"40K-59K", IF(bike_buyers[[#This Row],[Income]]&lt;80000,"60K-79K", IF(bike_buyers[[#This Row],[Income]]&lt;100000,"80K-99K","100K+"))))</f>
        <v>60K-79K</v>
      </c>
      <c r="F550">
        <v>0</v>
      </c>
      <c r="G550" s="1" t="s">
        <v>29</v>
      </c>
      <c r="H550" s="1" t="s">
        <v>20</v>
      </c>
      <c r="I550" s="1" t="s">
        <v>14</v>
      </c>
      <c r="J550">
        <v>0</v>
      </c>
      <c r="K550" s="1" t="s">
        <v>15</v>
      </c>
      <c r="L550" s="1" t="s">
        <v>30</v>
      </c>
      <c r="M550">
        <v>40</v>
      </c>
      <c r="N550" s="1" t="str" cm="1">
        <f t="array" ref="N550">_xlfn.IFS(M550&lt;40, " Adult", M550&lt;60, "Middle Age", M550&gt;=60, "Older Adult")</f>
        <v>Middle Age</v>
      </c>
      <c r="O550" s="1" t="s">
        <v>17</v>
      </c>
      <c r="P550" s="1" t="b">
        <f>IF(O550="Yes", 1)</f>
        <v>0</v>
      </c>
      <c r="Q550" s="1"/>
    </row>
    <row r="551" spans="1:17" x14ac:dyDescent="0.25">
      <c r="A551">
        <v>22227</v>
      </c>
      <c r="B551" s="1" t="s">
        <v>31</v>
      </c>
      <c r="C551" s="1" t="s">
        <v>33</v>
      </c>
      <c r="D551" s="2">
        <v>60000</v>
      </c>
      <c r="E551" s="2" t="str">
        <f>IF(bike_buyers[[#This Row],[Income]]&lt;40000,"Under 40K", IF(bike_buyers[[#This Row],[Income]]&lt;60000,"40K-59K", IF(bike_buyers[[#This Row],[Income]]&lt;80000,"60K-79K", IF(bike_buyers[[#This Row],[Income]]&lt;100000,"80K-99K","100K+"))))</f>
        <v>60K-79K</v>
      </c>
      <c r="F551">
        <v>2</v>
      </c>
      <c r="G551" s="1" t="s">
        <v>26</v>
      </c>
      <c r="H551" s="1" t="s">
        <v>20</v>
      </c>
      <c r="I551" s="1" t="s">
        <v>14</v>
      </c>
      <c r="J551">
        <v>2</v>
      </c>
      <c r="K551" s="1" t="s">
        <v>22</v>
      </c>
      <c r="L551" s="1" t="s">
        <v>30</v>
      </c>
      <c r="M551">
        <v>50</v>
      </c>
      <c r="N551" s="1" t="str" cm="1">
        <f t="array" ref="N551">_xlfn.IFS(M551&lt;40, " Adult", M551&lt;60, "Middle Age", M551&gt;=60, "Older Adult")</f>
        <v>Middle Age</v>
      </c>
      <c r="O551" s="1" t="s">
        <v>17</v>
      </c>
      <c r="P551" s="1" t="b">
        <f>IF(O551="Yes", 1)</f>
        <v>0</v>
      </c>
      <c r="Q551" s="1"/>
    </row>
    <row r="552" spans="1:17" x14ac:dyDescent="0.25">
      <c r="A552">
        <v>21471</v>
      </c>
      <c r="B552" s="1" t="s">
        <v>31</v>
      </c>
      <c r="C552" s="1" t="s">
        <v>32</v>
      </c>
      <c r="D552" s="2">
        <v>70000</v>
      </c>
      <c r="E552" s="2" t="str">
        <f>IF(bike_buyers[[#This Row],[Income]]&lt;40000,"Under 40K", IF(bike_buyers[[#This Row],[Income]]&lt;60000,"40K-59K", IF(bike_buyers[[#This Row],[Income]]&lt;80000,"60K-79K", IF(bike_buyers[[#This Row],[Income]]&lt;100000,"80K-99K","100K+"))))</f>
        <v>60K-79K</v>
      </c>
      <c r="F552">
        <v>2</v>
      </c>
      <c r="G552" s="1" t="s">
        <v>18</v>
      </c>
      <c r="H552" s="1" t="s">
        <v>20</v>
      </c>
      <c r="I552" s="1" t="s">
        <v>14</v>
      </c>
      <c r="J552">
        <v>1</v>
      </c>
      <c r="K552" s="1" t="s">
        <v>62</v>
      </c>
      <c r="L552" s="1" t="s">
        <v>30</v>
      </c>
      <c r="M552">
        <v>59</v>
      </c>
      <c r="N552" s="1" t="str" cm="1">
        <f t="array" ref="N552">_xlfn.IFS(M552&lt;40, " Adult", M552&lt;60, "Middle Age", M552&gt;=60, "Older Adult")</f>
        <v>Middle Age</v>
      </c>
      <c r="O552" s="1" t="s">
        <v>17</v>
      </c>
      <c r="P552" s="1" t="b">
        <f>IF(O552="Yes", 1)</f>
        <v>0</v>
      </c>
      <c r="Q552" s="1"/>
    </row>
    <row r="553" spans="1:17" x14ac:dyDescent="0.25">
      <c r="A553">
        <v>22252</v>
      </c>
      <c r="B553" s="1" t="s">
        <v>34</v>
      </c>
      <c r="C553" s="1" t="s">
        <v>33</v>
      </c>
      <c r="D553" s="2">
        <v>60000</v>
      </c>
      <c r="E553" s="2" t="str">
        <f>IF(bike_buyers[[#This Row],[Income]]&lt;40000,"Under 40K", IF(bike_buyers[[#This Row],[Income]]&lt;60000,"40K-59K", IF(bike_buyers[[#This Row],[Income]]&lt;80000,"60K-79K", IF(bike_buyers[[#This Row],[Income]]&lt;100000,"80K-99K","100K+"))))</f>
        <v>60K-79K</v>
      </c>
      <c r="F553">
        <v>1</v>
      </c>
      <c r="G553" s="1" t="s">
        <v>29</v>
      </c>
      <c r="H553" s="1" t="s">
        <v>20</v>
      </c>
      <c r="I553" s="1" t="s">
        <v>14</v>
      </c>
      <c r="J553">
        <v>0</v>
      </c>
      <c r="K553" s="1" t="s">
        <v>21</v>
      </c>
      <c r="L553" s="1" t="s">
        <v>30</v>
      </c>
      <c r="M553">
        <v>36</v>
      </c>
      <c r="N553" s="1" t="str" cm="1">
        <f t="array" ref="N553">_xlfn.IFS(M553&lt;40, " Adult", M553&lt;60, "Middle Age", M553&gt;=60, "Older Adult")</f>
        <v xml:space="preserve"> Adult</v>
      </c>
      <c r="O553" s="1" t="s">
        <v>14</v>
      </c>
      <c r="P553" s="1">
        <f>IF(O553="Yes", 1)</f>
        <v>1</v>
      </c>
      <c r="Q553" s="1"/>
    </row>
    <row r="554" spans="1:17" x14ac:dyDescent="0.25">
      <c r="A554">
        <v>11817</v>
      </c>
      <c r="B554" s="1" t="s">
        <v>34</v>
      </c>
      <c r="C554" s="1" t="s">
        <v>33</v>
      </c>
      <c r="D554" s="2">
        <v>70000</v>
      </c>
      <c r="E554" s="2" t="str">
        <f>IF(bike_buyers[[#This Row],[Income]]&lt;40000,"Under 40K", IF(bike_buyers[[#This Row],[Income]]&lt;60000,"40K-59K", IF(bike_buyers[[#This Row],[Income]]&lt;80000,"60K-79K", IF(bike_buyers[[#This Row],[Income]]&lt;100000,"80K-99K","100K+"))))</f>
        <v>60K-79K</v>
      </c>
      <c r="F554">
        <v>4</v>
      </c>
      <c r="G554" s="1" t="s">
        <v>29</v>
      </c>
      <c r="H554" s="1" t="s">
        <v>20</v>
      </c>
      <c r="I554" s="1" t="s">
        <v>14</v>
      </c>
      <c r="J554">
        <v>0</v>
      </c>
      <c r="K554" s="1" t="s">
        <v>21</v>
      </c>
      <c r="L554" s="1" t="s">
        <v>30</v>
      </c>
      <c r="M554">
        <v>35</v>
      </c>
      <c r="N554" s="1" t="str" cm="1">
        <f t="array" ref="N554">_xlfn.IFS(M554&lt;40, " Adult", M554&lt;60, "Middle Age", M554&gt;=60, "Older Adult")</f>
        <v xml:space="preserve"> Adult</v>
      </c>
      <c r="O554" s="1" t="s">
        <v>14</v>
      </c>
      <c r="P554" s="1">
        <f>IF(O554="Yes", 1)</f>
        <v>1</v>
      </c>
      <c r="Q554" s="1"/>
    </row>
    <row r="555" spans="1:17" x14ac:dyDescent="0.25">
      <c r="A555">
        <v>13760</v>
      </c>
      <c r="B555" s="1" t="s">
        <v>31</v>
      </c>
      <c r="C555" s="1" t="s">
        <v>32</v>
      </c>
      <c r="D555" s="2">
        <v>60000</v>
      </c>
      <c r="E555" s="2" t="str">
        <f>IF(bike_buyers[[#This Row],[Income]]&lt;40000,"Under 40K", IF(bike_buyers[[#This Row],[Income]]&lt;60000,"40K-59K", IF(bike_buyers[[#This Row],[Income]]&lt;80000,"60K-79K", IF(bike_buyers[[#This Row],[Income]]&lt;100000,"80K-99K","100K+"))))</f>
        <v>60K-79K</v>
      </c>
      <c r="F555">
        <v>4</v>
      </c>
      <c r="G555" s="1" t="s">
        <v>29</v>
      </c>
      <c r="H555" s="1" t="s">
        <v>13</v>
      </c>
      <c r="I555" s="1" t="s">
        <v>17</v>
      </c>
      <c r="J555">
        <v>0</v>
      </c>
      <c r="K555" s="1" t="s">
        <v>15</v>
      </c>
      <c r="L555" s="1" t="s">
        <v>30</v>
      </c>
      <c r="M555">
        <v>47</v>
      </c>
      <c r="N555" s="1" t="str" cm="1">
        <f t="array" ref="N555">_xlfn.IFS(M555&lt;40, " Adult", M555&lt;60, "Middle Age", M555&gt;=60, "Older Adult")</f>
        <v>Middle Age</v>
      </c>
      <c r="O555" s="1" t="s">
        <v>17</v>
      </c>
      <c r="P555" s="1" t="b">
        <f>IF(O555="Yes", 1)</f>
        <v>0</v>
      </c>
      <c r="Q555" s="1"/>
    </row>
    <row r="556" spans="1:17" x14ac:dyDescent="0.25">
      <c r="A556">
        <v>21770</v>
      </c>
      <c r="B556" s="1" t="s">
        <v>31</v>
      </c>
      <c r="C556" s="1" t="s">
        <v>32</v>
      </c>
      <c r="D556" s="2">
        <v>60000</v>
      </c>
      <c r="E556" s="2" t="str">
        <f>IF(bike_buyers[[#This Row],[Income]]&lt;40000,"Under 40K", IF(bike_buyers[[#This Row],[Income]]&lt;60000,"40K-59K", IF(bike_buyers[[#This Row],[Income]]&lt;80000,"60K-79K", IF(bike_buyers[[#This Row],[Income]]&lt;100000,"80K-99K","100K+"))))</f>
        <v>60K-79K</v>
      </c>
      <c r="F556">
        <v>4</v>
      </c>
      <c r="G556" s="1" t="s">
        <v>12</v>
      </c>
      <c r="H556" s="1" t="s">
        <v>27</v>
      </c>
      <c r="I556" s="1" t="s">
        <v>14</v>
      </c>
      <c r="J556">
        <v>2</v>
      </c>
      <c r="K556" s="1" t="s">
        <v>62</v>
      </c>
      <c r="L556" s="1" t="s">
        <v>30</v>
      </c>
      <c r="M556">
        <v>60</v>
      </c>
      <c r="N556" s="1" t="str" cm="1">
        <f t="array" ref="N556">_xlfn.IFS(M556&lt;40, " Adult", M556&lt;60, "Middle Age", M556&gt;=60, "Older Adult")</f>
        <v>Older Adult</v>
      </c>
      <c r="O556" s="1" t="s">
        <v>17</v>
      </c>
      <c r="P556" s="1" t="b">
        <f>IF(O556="Yes", 1)</f>
        <v>0</v>
      </c>
      <c r="Q556" s="1"/>
    </row>
    <row r="557" spans="1:17" x14ac:dyDescent="0.25">
      <c r="A557">
        <v>11165</v>
      </c>
      <c r="B557" s="1" t="s">
        <v>31</v>
      </c>
      <c r="C557" s="1" t="s">
        <v>33</v>
      </c>
      <c r="D557" s="2">
        <v>60000</v>
      </c>
      <c r="E557" s="2" t="str">
        <f>IF(bike_buyers[[#This Row],[Income]]&lt;40000,"Under 40K", IF(bike_buyers[[#This Row],[Income]]&lt;60000,"40K-59K", IF(bike_buyers[[#This Row],[Income]]&lt;80000,"60K-79K", IF(bike_buyers[[#This Row],[Income]]&lt;100000,"80K-99K","100K+"))))</f>
        <v>60K-79K</v>
      </c>
      <c r="F557">
        <v>0</v>
      </c>
      <c r="G557" s="1" t="s">
        <v>18</v>
      </c>
      <c r="H557" s="1" t="s">
        <v>13</v>
      </c>
      <c r="I557" s="1" t="s">
        <v>17</v>
      </c>
      <c r="J557">
        <v>1</v>
      </c>
      <c r="K557" s="1" t="s">
        <v>25</v>
      </c>
      <c r="L557" s="1" t="s">
        <v>30</v>
      </c>
      <c r="M557">
        <v>33</v>
      </c>
      <c r="N557" s="1" t="str" cm="1">
        <f t="array" ref="N557">_xlfn.IFS(M557&lt;40, " Adult", M557&lt;60, "Middle Age", M557&gt;=60, "Older Adult")</f>
        <v xml:space="preserve"> Adult</v>
      </c>
      <c r="O557" s="1" t="s">
        <v>17</v>
      </c>
      <c r="P557" s="1" t="b">
        <f>IF(O557="Yes", 1)</f>
        <v>0</v>
      </c>
      <c r="Q557" s="1"/>
    </row>
    <row r="558" spans="1:17" x14ac:dyDescent="0.25">
      <c r="A558">
        <v>29133</v>
      </c>
      <c r="B558" s="1" t="s">
        <v>34</v>
      </c>
      <c r="C558" s="1" t="s">
        <v>33</v>
      </c>
      <c r="D558" s="2">
        <v>60000</v>
      </c>
      <c r="E558" s="2" t="str">
        <f>IF(bike_buyers[[#This Row],[Income]]&lt;40000,"Under 40K", IF(bike_buyers[[#This Row],[Income]]&lt;60000,"40K-59K", IF(bike_buyers[[#This Row],[Income]]&lt;80000,"60K-79K", IF(bike_buyers[[#This Row],[Income]]&lt;100000,"80K-99K","100K+"))))</f>
        <v>60K-79K</v>
      </c>
      <c r="F558">
        <v>4</v>
      </c>
      <c r="G558" s="1" t="s">
        <v>12</v>
      </c>
      <c r="H558" s="1" t="s">
        <v>13</v>
      </c>
      <c r="I558" s="1" t="s">
        <v>17</v>
      </c>
      <c r="J558">
        <v>2</v>
      </c>
      <c r="K558" s="1" t="s">
        <v>15</v>
      </c>
      <c r="L558" s="1" t="s">
        <v>30</v>
      </c>
      <c r="M558">
        <v>42</v>
      </c>
      <c r="N558" s="1" t="str" cm="1">
        <f t="array" ref="N558">_xlfn.IFS(M558&lt;40, " Adult", M558&lt;60, "Middle Age", M558&gt;=60, "Older Adult")</f>
        <v>Middle Age</v>
      </c>
      <c r="O558" s="1" t="s">
        <v>17</v>
      </c>
      <c r="P558" s="1" t="b">
        <f>IF(O558="Yes", 1)</f>
        <v>0</v>
      </c>
      <c r="Q558" s="1"/>
    </row>
    <row r="559" spans="1:17" x14ac:dyDescent="0.25">
      <c r="A559">
        <v>27673</v>
      </c>
      <c r="B559" s="1" t="s">
        <v>34</v>
      </c>
      <c r="C559" s="1" t="s">
        <v>33</v>
      </c>
      <c r="D559" s="2">
        <v>60000</v>
      </c>
      <c r="E559" s="2" t="str">
        <f>IF(bike_buyers[[#This Row],[Income]]&lt;40000,"Under 40K", IF(bike_buyers[[#This Row],[Income]]&lt;60000,"40K-59K", IF(bike_buyers[[#This Row],[Income]]&lt;80000,"60K-79K", IF(bike_buyers[[#This Row],[Income]]&lt;100000,"80K-99K","100K+"))))</f>
        <v>60K-79K</v>
      </c>
      <c r="F559">
        <v>3</v>
      </c>
      <c r="G559" s="1" t="s">
        <v>29</v>
      </c>
      <c r="H559" s="1" t="s">
        <v>27</v>
      </c>
      <c r="I559" s="1" t="s">
        <v>14</v>
      </c>
      <c r="J559">
        <v>2</v>
      </c>
      <c r="K559" s="1" t="s">
        <v>22</v>
      </c>
      <c r="L559" s="1" t="s">
        <v>30</v>
      </c>
      <c r="M559">
        <v>53</v>
      </c>
      <c r="N559" s="1" t="str" cm="1">
        <f t="array" ref="N559">_xlfn.IFS(M559&lt;40, " Adult", M559&lt;60, "Middle Age", M559&gt;=60, "Older Adult")</f>
        <v>Middle Age</v>
      </c>
      <c r="O559" s="1" t="s">
        <v>14</v>
      </c>
      <c r="P559" s="1">
        <f>IF(O559="Yes", 1)</f>
        <v>1</v>
      </c>
      <c r="Q559" s="1"/>
    </row>
    <row r="560" spans="1:17" x14ac:dyDescent="0.25">
      <c r="A560">
        <v>11699</v>
      </c>
      <c r="B560" s="1" t="s">
        <v>34</v>
      </c>
      <c r="C560" s="1" t="s">
        <v>32</v>
      </c>
      <c r="D560" s="2">
        <v>60000</v>
      </c>
      <c r="E560" s="2" t="str">
        <f>IF(bike_buyers[[#This Row],[Income]]&lt;40000,"Under 40K", IF(bike_buyers[[#This Row],[Income]]&lt;60000,"40K-59K", IF(bike_buyers[[#This Row],[Income]]&lt;80000,"60K-79K", IF(bike_buyers[[#This Row],[Income]]&lt;100000,"80K-99K","100K+"))))</f>
        <v>60K-79K</v>
      </c>
      <c r="F560">
        <v>0</v>
      </c>
      <c r="G560" s="1" t="s">
        <v>12</v>
      </c>
      <c r="H560" s="1" t="s">
        <v>13</v>
      </c>
      <c r="I560" s="1" t="s">
        <v>17</v>
      </c>
      <c r="J560">
        <v>2</v>
      </c>
      <c r="K560" s="1" t="s">
        <v>15</v>
      </c>
      <c r="L560" s="1" t="s">
        <v>30</v>
      </c>
      <c r="M560">
        <v>30</v>
      </c>
      <c r="N560" s="1" t="str" cm="1">
        <f t="array" ref="N560">_xlfn.IFS(M560&lt;40, " Adult", M560&lt;60, "Middle Age", M560&gt;=60, "Older Adult")</f>
        <v xml:space="preserve"> Adult</v>
      </c>
      <c r="O560" s="1" t="s">
        <v>17</v>
      </c>
      <c r="P560" s="1" t="b">
        <f>IF(O560="Yes", 1)</f>
        <v>0</v>
      </c>
      <c r="Q560" s="1"/>
    </row>
    <row r="561" spans="1:17" x14ac:dyDescent="0.25">
      <c r="A561">
        <v>23376</v>
      </c>
      <c r="B561" s="1" t="s">
        <v>31</v>
      </c>
      <c r="C561" s="1" t="s">
        <v>32</v>
      </c>
      <c r="D561" s="2">
        <v>70000</v>
      </c>
      <c r="E561" s="2" t="str">
        <f>IF(bike_buyers[[#This Row],[Income]]&lt;40000,"Under 40K", IF(bike_buyers[[#This Row],[Income]]&lt;60000,"40K-59K", IF(bike_buyers[[#This Row],[Income]]&lt;80000,"60K-79K", IF(bike_buyers[[#This Row],[Income]]&lt;100000,"80K-99K","100K+"))))</f>
        <v>60K-79K</v>
      </c>
      <c r="F561">
        <v>1</v>
      </c>
      <c r="G561" s="1" t="s">
        <v>12</v>
      </c>
      <c r="H561" s="1" t="s">
        <v>20</v>
      </c>
      <c r="I561" s="1" t="s">
        <v>14</v>
      </c>
      <c r="J561">
        <v>1</v>
      </c>
      <c r="K561" s="1" t="s">
        <v>21</v>
      </c>
      <c r="L561" s="1" t="s">
        <v>30</v>
      </c>
      <c r="M561">
        <v>44</v>
      </c>
      <c r="N561" s="1" t="str" cm="1">
        <f t="array" ref="N561">_xlfn.IFS(M561&lt;40, " Adult", M561&lt;60, "Middle Age", M561&gt;=60, "Older Adult")</f>
        <v>Middle Age</v>
      </c>
      <c r="O561" s="1" t="s">
        <v>14</v>
      </c>
      <c r="P561" s="1">
        <f>IF(O561="Yes", 1)</f>
        <v>1</v>
      </c>
      <c r="Q561" s="1"/>
    </row>
    <row r="562" spans="1:17" x14ac:dyDescent="0.25">
      <c r="A562">
        <v>25970</v>
      </c>
      <c r="B562" s="1" t="s">
        <v>34</v>
      </c>
      <c r="C562" s="1" t="s">
        <v>33</v>
      </c>
      <c r="D562" s="2">
        <v>60000</v>
      </c>
      <c r="E562" s="2" t="str">
        <f>IF(bike_buyers[[#This Row],[Income]]&lt;40000,"Under 40K", IF(bike_buyers[[#This Row],[Income]]&lt;60000,"40K-59K", IF(bike_buyers[[#This Row],[Income]]&lt;80000,"60K-79K", IF(bike_buyers[[#This Row],[Income]]&lt;100000,"80K-99K","100K+"))))</f>
        <v>60K-79K</v>
      </c>
      <c r="F562">
        <v>4</v>
      </c>
      <c r="G562" s="1" t="s">
        <v>12</v>
      </c>
      <c r="H562" s="1" t="s">
        <v>13</v>
      </c>
      <c r="I562" s="1" t="s">
        <v>17</v>
      </c>
      <c r="J562">
        <v>2</v>
      </c>
      <c r="K562" s="1" t="s">
        <v>15</v>
      </c>
      <c r="L562" s="1" t="s">
        <v>30</v>
      </c>
      <c r="M562">
        <v>41</v>
      </c>
      <c r="N562" s="1" t="str" cm="1">
        <f t="array" ref="N562">_xlfn.IFS(M562&lt;40, " Adult", M562&lt;60, "Middle Age", M562&gt;=60, "Older Adult")</f>
        <v>Middle Age</v>
      </c>
      <c r="O562" s="1" t="s">
        <v>14</v>
      </c>
      <c r="P562" s="1">
        <f>IF(O562="Yes", 1)</f>
        <v>1</v>
      </c>
      <c r="Q562" s="1"/>
    </row>
    <row r="563" spans="1:17" x14ac:dyDescent="0.25">
      <c r="A563">
        <v>29112</v>
      </c>
      <c r="B563" s="1" t="s">
        <v>34</v>
      </c>
      <c r="C563" s="1" t="s">
        <v>32</v>
      </c>
      <c r="D563" s="2">
        <v>60000</v>
      </c>
      <c r="E563" s="2" t="str">
        <f>IF(bike_buyers[[#This Row],[Income]]&lt;40000,"Under 40K", IF(bike_buyers[[#This Row],[Income]]&lt;60000,"40K-59K", IF(bike_buyers[[#This Row],[Income]]&lt;80000,"60K-79K", IF(bike_buyers[[#This Row],[Income]]&lt;100000,"80K-99K","100K+"))))</f>
        <v>60K-79K</v>
      </c>
      <c r="F563">
        <v>0</v>
      </c>
      <c r="G563" s="1" t="s">
        <v>18</v>
      </c>
      <c r="H563" s="1" t="s">
        <v>20</v>
      </c>
      <c r="I563" s="1" t="s">
        <v>17</v>
      </c>
      <c r="J563">
        <v>2</v>
      </c>
      <c r="K563" s="1" t="s">
        <v>25</v>
      </c>
      <c r="L563" s="1" t="s">
        <v>30</v>
      </c>
      <c r="M563">
        <v>30</v>
      </c>
      <c r="N563" s="1" t="str" cm="1">
        <f t="array" ref="N563">_xlfn.IFS(M563&lt;40, " Adult", M563&lt;60, "Middle Age", M563&gt;=60, "Older Adult")</f>
        <v xml:space="preserve"> Adult</v>
      </c>
      <c r="O563" s="1" t="s">
        <v>17</v>
      </c>
      <c r="P563" s="1" t="b">
        <f>IF(O563="Yes", 1)</f>
        <v>0</v>
      </c>
      <c r="Q563" s="1"/>
    </row>
    <row r="564" spans="1:17" x14ac:dyDescent="0.25">
      <c r="A564">
        <v>16795</v>
      </c>
      <c r="B564" s="1" t="s">
        <v>31</v>
      </c>
      <c r="C564" s="1" t="s">
        <v>33</v>
      </c>
      <c r="D564" s="2">
        <v>70000</v>
      </c>
      <c r="E564" s="2" t="str">
        <f>IF(bike_buyers[[#This Row],[Income]]&lt;40000,"Under 40K", IF(bike_buyers[[#This Row],[Income]]&lt;60000,"40K-59K", IF(bike_buyers[[#This Row],[Income]]&lt;80000,"60K-79K", IF(bike_buyers[[#This Row],[Income]]&lt;100000,"80K-99K","100K+"))))</f>
        <v>60K-79K</v>
      </c>
      <c r="F564">
        <v>4</v>
      </c>
      <c r="G564" s="1" t="s">
        <v>12</v>
      </c>
      <c r="H564" s="1" t="s">
        <v>27</v>
      </c>
      <c r="I564" s="1" t="s">
        <v>14</v>
      </c>
      <c r="J564">
        <v>1</v>
      </c>
      <c r="K564" s="1" t="s">
        <v>25</v>
      </c>
      <c r="L564" s="1" t="s">
        <v>30</v>
      </c>
      <c r="M564">
        <v>59</v>
      </c>
      <c r="N564" s="1" t="str" cm="1">
        <f t="array" ref="N564">_xlfn.IFS(M564&lt;40, " Adult", M564&lt;60, "Middle Age", M564&gt;=60, "Older Adult")</f>
        <v>Middle Age</v>
      </c>
      <c r="O564" s="1" t="s">
        <v>17</v>
      </c>
      <c r="P564" s="1" t="b">
        <f>IF(O564="Yes", 1)</f>
        <v>0</v>
      </c>
      <c r="Q564" s="1"/>
    </row>
    <row r="565" spans="1:17" x14ac:dyDescent="0.25">
      <c r="A565">
        <v>11199</v>
      </c>
      <c r="B565" s="1" t="s">
        <v>31</v>
      </c>
      <c r="C565" s="1" t="s">
        <v>33</v>
      </c>
      <c r="D565" s="2">
        <v>70000</v>
      </c>
      <c r="E565" s="2" t="str">
        <f>IF(bike_buyers[[#This Row],[Income]]&lt;40000,"Under 40K", IF(bike_buyers[[#This Row],[Income]]&lt;60000,"40K-59K", IF(bike_buyers[[#This Row],[Income]]&lt;80000,"60K-79K", IF(bike_buyers[[#This Row],[Income]]&lt;100000,"80K-99K","100K+"))))</f>
        <v>60K-79K</v>
      </c>
      <c r="F565">
        <v>4</v>
      </c>
      <c r="G565" s="1" t="s">
        <v>12</v>
      </c>
      <c r="H565" s="1" t="s">
        <v>27</v>
      </c>
      <c r="I565" s="1" t="s">
        <v>14</v>
      </c>
      <c r="J565">
        <v>1</v>
      </c>
      <c r="K565" s="1" t="s">
        <v>62</v>
      </c>
      <c r="L565" s="1" t="s">
        <v>30</v>
      </c>
      <c r="M565">
        <v>59</v>
      </c>
      <c r="N565" s="1" t="str" cm="1">
        <f t="array" ref="N565">_xlfn.IFS(M565&lt;40, " Adult", M565&lt;60, "Middle Age", M565&gt;=60, "Older Adult")</f>
        <v>Middle Age</v>
      </c>
      <c r="O565" s="1" t="s">
        <v>17</v>
      </c>
      <c r="P565" s="1" t="b">
        <f>IF(O565="Yes", 1)</f>
        <v>0</v>
      </c>
      <c r="Q565" s="1"/>
    </row>
    <row r="566" spans="1:17" x14ac:dyDescent="0.25">
      <c r="A566">
        <v>20296</v>
      </c>
      <c r="B566" s="1" t="s">
        <v>34</v>
      </c>
      <c r="C566" s="1" t="s">
        <v>33</v>
      </c>
      <c r="D566" s="2">
        <v>60000</v>
      </c>
      <c r="E566" s="2" t="str">
        <f>IF(bike_buyers[[#This Row],[Income]]&lt;40000,"Under 40K", IF(bike_buyers[[#This Row],[Income]]&lt;60000,"40K-59K", IF(bike_buyers[[#This Row],[Income]]&lt;80000,"60K-79K", IF(bike_buyers[[#This Row],[Income]]&lt;100000,"80K-99K","100K+"))))</f>
        <v>60K-79K</v>
      </c>
      <c r="F566">
        <v>0</v>
      </c>
      <c r="G566" s="1" t="s">
        <v>18</v>
      </c>
      <c r="H566" s="1" t="s">
        <v>13</v>
      </c>
      <c r="I566" s="1" t="s">
        <v>17</v>
      </c>
      <c r="J566">
        <v>1</v>
      </c>
      <c r="K566" s="1" t="s">
        <v>25</v>
      </c>
      <c r="L566" s="1" t="s">
        <v>30</v>
      </c>
      <c r="M566">
        <v>33</v>
      </c>
      <c r="N566" s="1" t="str" cm="1">
        <f t="array" ref="N566">_xlfn.IFS(M566&lt;40, " Adult", M566&lt;60, "Middle Age", M566&gt;=60, "Older Adult")</f>
        <v xml:space="preserve"> Adult</v>
      </c>
      <c r="O566" s="1" t="s">
        <v>14</v>
      </c>
      <c r="P566" s="1">
        <f>IF(O566="Yes", 1)</f>
        <v>1</v>
      </c>
      <c r="Q566" s="1"/>
    </row>
    <row r="567" spans="1:17" x14ac:dyDescent="0.25">
      <c r="A567">
        <v>17546</v>
      </c>
      <c r="B567" s="1" t="s">
        <v>31</v>
      </c>
      <c r="C567" s="1" t="s">
        <v>33</v>
      </c>
      <c r="D567" s="2">
        <v>70000</v>
      </c>
      <c r="E567" s="2" t="str">
        <f>IF(bike_buyers[[#This Row],[Income]]&lt;40000,"Under 40K", IF(bike_buyers[[#This Row],[Income]]&lt;60000,"40K-59K", IF(bike_buyers[[#This Row],[Income]]&lt;80000,"60K-79K", IF(bike_buyers[[#This Row],[Income]]&lt;100000,"80K-99K","100K+"))))</f>
        <v>60K-79K</v>
      </c>
      <c r="F567">
        <v>1</v>
      </c>
      <c r="G567" s="1" t="s">
        <v>18</v>
      </c>
      <c r="H567" s="1" t="s">
        <v>13</v>
      </c>
      <c r="I567" s="1" t="s">
        <v>14</v>
      </c>
      <c r="J567">
        <v>1</v>
      </c>
      <c r="K567" s="1" t="s">
        <v>15</v>
      </c>
      <c r="L567" s="1" t="s">
        <v>30</v>
      </c>
      <c r="M567">
        <v>44</v>
      </c>
      <c r="N567" s="1" t="str" cm="1">
        <f t="array" ref="N567">_xlfn.IFS(M567&lt;40, " Adult", M567&lt;60, "Middle Age", M567&gt;=60, "Older Adult")</f>
        <v>Middle Age</v>
      </c>
      <c r="O567" s="1" t="s">
        <v>14</v>
      </c>
      <c r="P567" s="1">
        <f>IF(O567="Yes", 1)</f>
        <v>1</v>
      </c>
      <c r="Q567" s="1"/>
    </row>
    <row r="568" spans="1:17" x14ac:dyDescent="0.25">
      <c r="A568">
        <v>18069</v>
      </c>
      <c r="B568" s="1" t="s">
        <v>31</v>
      </c>
      <c r="C568" s="1" t="s">
        <v>32</v>
      </c>
      <c r="D568" s="2">
        <v>70000</v>
      </c>
      <c r="E568" s="2" t="str">
        <f>IF(bike_buyers[[#This Row],[Income]]&lt;40000,"Under 40K", IF(bike_buyers[[#This Row],[Income]]&lt;60000,"40K-59K", IF(bike_buyers[[#This Row],[Income]]&lt;80000,"60K-79K", IF(bike_buyers[[#This Row],[Income]]&lt;100000,"80K-99K","100K+"))))</f>
        <v>60K-79K</v>
      </c>
      <c r="F568">
        <v>5</v>
      </c>
      <c r="G568" s="1" t="s">
        <v>12</v>
      </c>
      <c r="H568" s="1" t="s">
        <v>27</v>
      </c>
      <c r="I568" s="1" t="s">
        <v>14</v>
      </c>
      <c r="J568">
        <v>4</v>
      </c>
      <c r="K568" s="1" t="s">
        <v>62</v>
      </c>
      <c r="L568" s="1" t="s">
        <v>30</v>
      </c>
      <c r="M568">
        <v>60</v>
      </c>
      <c r="N568" s="1" t="str" cm="1">
        <f t="array" ref="N568">_xlfn.IFS(M568&lt;40, " Adult", M568&lt;60, "Middle Age", M568&gt;=60, "Older Adult")</f>
        <v>Older Adult</v>
      </c>
      <c r="O568" s="1" t="s">
        <v>17</v>
      </c>
      <c r="P568" s="1" t="b">
        <f>IF(O568="Yes", 1)</f>
        <v>0</v>
      </c>
      <c r="Q568" s="1"/>
    </row>
    <row r="569" spans="1:17" x14ac:dyDescent="0.25">
      <c r="A569">
        <v>23712</v>
      </c>
      <c r="B569" s="1" t="s">
        <v>34</v>
      </c>
      <c r="C569" s="1" t="s">
        <v>33</v>
      </c>
      <c r="D569" s="2">
        <v>70000</v>
      </c>
      <c r="E569" s="2" t="str">
        <f>IF(bike_buyers[[#This Row],[Income]]&lt;40000,"Under 40K", IF(bike_buyers[[#This Row],[Income]]&lt;60000,"40K-59K", IF(bike_buyers[[#This Row],[Income]]&lt;80000,"60K-79K", IF(bike_buyers[[#This Row],[Income]]&lt;100000,"80K-99K","100K+"))))</f>
        <v>60K-79K</v>
      </c>
      <c r="F569">
        <v>2</v>
      </c>
      <c r="G569" s="1" t="s">
        <v>12</v>
      </c>
      <c r="H569" s="1" t="s">
        <v>27</v>
      </c>
      <c r="I569" s="1" t="s">
        <v>14</v>
      </c>
      <c r="J569">
        <v>1</v>
      </c>
      <c r="K569" s="1" t="s">
        <v>62</v>
      </c>
      <c r="L569" s="1" t="s">
        <v>30</v>
      </c>
      <c r="M569">
        <v>59</v>
      </c>
      <c r="N569" s="1" t="str" cm="1">
        <f t="array" ref="N569">_xlfn.IFS(M569&lt;40, " Adult", M569&lt;60, "Middle Age", M569&gt;=60, "Older Adult")</f>
        <v>Middle Age</v>
      </c>
      <c r="O569" s="1" t="s">
        <v>17</v>
      </c>
      <c r="P569" s="1" t="b">
        <f>IF(O569="Yes", 1)</f>
        <v>0</v>
      </c>
      <c r="Q569" s="1"/>
    </row>
    <row r="570" spans="1:17" x14ac:dyDescent="0.25">
      <c r="A570">
        <v>23358</v>
      </c>
      <c r="B570" s="1" t="s">
        <v>31</v>
      </c>
      <c r="C570" s="1" t="s">
        <v>32</v>
      </c>
      <c r="D570" s="2">
        <v>60000</v>
      </c>
      <c r="E570" s="2" t="str">
        <f>IF(bike_buyers[[#This Row],[Income]]&lt;40000,"Under 40K", IF(bike_buyers[[#This Row],[Income]]&lt;60000,"40K-59K", IF(bike_buyers[[#This Row],[Income]]&lt;80000,"60K-79K", IF(bike_buyers[[#This Row],[Income]]&lt;100000,"80K-99K","100K+"))))</f>
        <v>60K-79K</v>
      </c>
      <c r="F570">
        <v>0</v>
      </c>
      <c r="G570" s="1" t="s">
        <v>26</v>
      </c>
      <c r="H570" s="1" t="s">
        <v>20</v>
      </c>
      <c r="I570" s="1" t="s">
        <v>14</v>
      </c>
      <c r="J570">
        <v>2</v>
      </c>
      <c r="K570" s="1" t="s">
        <v>22</v>
      </c>
      <c r="L570" s="1" t="s">
        <v>30</v>
      </c>
      <c r="M570">
        <v>32</v>
      </c>
      <c r="N570" s="1" t="str" cm="1">
        <f t="array" ref="N570">_xlfn.IFS(M570&lt;40, " Adult", M570&lt;60, "Middle Age", M570&gt;=60, "Older Adult")</f>
        <v xml:space="preserve"> Adult</v>
      </c>
      <c r="O570" s="1" t="s">
        <v>14</v>
      </c>
      <c r="P570" s="1">
        <f>IF(O570="Yes", 1)</f>
        <v>1</v>
      </c>
      <c r="Q570" s="1"/>
    </row>
    <row r="571" spans="1:17" x14ac:dyDescent="0.25">
      <c r="A571">
        <v>20518</v>
      </c>
      <c r="B571" s="1" t="s">
        <v>31</v>
      </c>
      <c r="C571" s="1" t="s">
        <v>33</v>
      </c>
      <c r="D571" s="2">
        <v>70000</v>
      </c>
      <c r="E571" s="2" t="str">
        <f>IF(bike_buyers[[#This Row],[Income]]&lt;40000,"Under 40K", IF(bike_buyers[[#This Row],[Income]]&lt;60000,"40K-59K", IF(bike_buyers[[#This Row],[Income]]&lt;80000,"60K-79K", IF(bike_buyers[[#This Row],[Income]]&lt;100000,"80K-99K","100K+"))))</f>
        <v>60K-79K</v>
      </c>
      <c r="F571">
        <v>2</v>
      </c>
      <c r="G571" s="1" t="s">
        <v>18</v>
      </c>
      <c r="H571" s="1" t="s">
        <v>20</v>
      </c>
      <c r="I571" s="1" t="s">
        <v>14</v>
      </c>
      <c r="J571">
        <v>1</v>
      </c>
      <c r="K571" s="1" t="s">
        <v>62</v>
      </c>
      <c r="L571" s="1" t="s">
        <v>30</v>
      </c>
      <c r="M571">
        <v>58</v>
      </c>
      <c r="N571" s="1" t="str" cm="1">
        <f t="array" ref="N571">_xlfn.IFS(M571&lt;40, " Adult", M571&lt;60, "Middle Age", M571&gt;=60, "Older Adult")</f>
        <v>Middle Age</v>
      </c>
      <c r="O571" s="1" t="s">
        <v>17</v>
      </c>
      <c r="P571" s="1" t="b">
        <f>IF(O571="Yes", 1)</f>
        <v>0</v>
      </c>
      <c r="Q571" s="1"/>
    </row>
    <row r="572" spans="1:17" x14ac:dyDescent="0.25">
      <c r="A572">
        <v>11669</v>
      </c>
      <c r="B572" s="1" t="s">
        <v>34</v>
      </c>
      <c r="C572" s="1" t="s">
        <v>33</v>
      </c>
      <c r="D572" s="2">
        <v>70000</v>
      </c>
      <c r="E572" s="2" t="str">
        <f>IF(bike_buyers[[#This Row],[Income]]&lt;40000,"Under 40K", IF(bike_buyers[[#This Row],[Income]]&lt;60000,"40K-59K", IF(bike_buyers[[#This Row],[Income]]&lt;80000,"60K-79K", IF(bike_buyers[[#This Row],[Income]]&lt;100000,"80K-99K","100K+"))))</f>
        <v>60K-79K</v>
      </c>
      <c r="F572">
        <v>2</v>
      </c>
      <c r="G572" s="1" t="s">
        <v>12</v>
      </c>
      <c r="H572" s="1" t="s">
        <v>13</v>
      </c>
      <c r="I572" s="1" t="s">
        <v>14</v>
      </c>
      <c r="J572">
        <v>1</v>
      </c>
      <c r="K572" s="1" t="s">
        <v>21</v>
      </c>
      <c r="L572" s="1" t="s">
        <v>30</v>
      </c>
      <c r="M572">
        <v>38</v>
      </c>
      <c r="N572" s="1" t="str" cm="1">
        <f t="array" ref="N572">_xlfn.IFS(M572&lt;40, " Adult", M572&lt;60, "Middle Age", M572&gt;=60, "Older Adult")</f>
        <v xml:space="preserve"> Adult</v>
      </c>
      <c r="O572" s="1" t="s">
        <v>17</v>
      </c>
      <c r="P572" s="1" t="b">
        <f>IF(O572="Yes", 1)</f>
        <v>0</v>
      </c>
      <c r="Q572" s="1"/>
    </row>
    <row r="573" spans="1:17" x14ac:dyDescent="0.25">
      <c r="A573">
        <v>27090</v>
      </c>
      <c r="B573" s="1" t="s">
        <v>31</v>
      </c>
      <c r="C573" s="1" t="s">
        <v>33</v>
      </c>
      <c r="D573" s="2">
        <v>60000</v>
      </c>
      <c r="E573" s="2" t="str">
        <f>IF(bike_buyers[[#This Row],[Income]]&lt;40000,"Under 40K", IF(bike_buyers[[#This Row],[Income]]&lt;60000,"40K-59K", IF(bike_buyers[[#This Row],[Income]]&lt;80000,"60K-79K", IF(bike_buyers[[#This Row],[Income]]&lt;100000,"80K-99K","100K+"))))</f>
        <v>60K-79K</v>
      </c>
      <c r="F573">
        <v>1</v>
      </c>
      <c r="G573" s="1" t="s">
        <v>29</v>
      </c>
      <c r="H573" s="1" t="s">
        <v>20</v>
      </c>
      <c r="I573" s="1" t="s">
        <v>14</v>
      </c>
      <c r="J573">
        <v>0</v>
      </c>
      <c r="K573" s="1" t="s">
        <v>21</v>
      </c>
      <c r="L573" s="1" t="s">
        <v>30</v>
      </c>
      <c r="M573">
        <v>37</v>
      </c>
      <c r="N573" s="1" t="str" cm="1">
        <f t="array" ref="N573">_xlfn.IFS(M573&lt;40, " Adult", M573&lt;60, "Middle Age", M573&gt;=60, "Older Adult")</f>
        <v xml:space="preserve"> Adult</v>
      </c>
      <c r="O573" s="1" t="s">
        <v>14</v>
      </c>
      <c r="P573" s="1">
        <f>IF(O573="Yes", 1)</f>
        <v>1</v>
      </c>
      <c r="Q573" s="1"/>
    </row>
    <row r="574" spans="1:17" x14ac:dyDescent="0.25">
      <c r="A574">
        <v>26327</v>
      </c>
      <c r="B574" s="1" t="s">
        <v>31</v>
      </c>
      <c r="C574" s="1" t="s">
        <v>32</v>
      </c>
      <c r="D574" s="2">
        <v>70000</v>
      </c>
      <c r="E574" s="2" t="str">
        <f>IF(bike_buyers[[#This Row],[Income]]&lt;40000,"Under 40K", IF(bike_buyers[[#This Row],[Income]]&lt;60000,"40K-59K", IF(bike_buyers[[#This Row],[Income]]&lt;80000,"60K-79K", IF(bike_buyers[[#This Row],[Income]]&lt;100000,"80K-99K","100K+"))))</f>
        <v>60K-79K</v>
      </c>
      <c r="F574">
        <v>4</v>
      </c>
      <c r="G574" s="1" t="s">
        <v>29</v>
      </c>
      <c r="H574" s="1" t="s">
        <v>20</v>
      </c>
      <c r="I574" s="1" t="s">
        <v>14</v>
      </c>
      <c r="J574">
        <v>0</v>
      </c>
      <c r="K574" s="1" t="s">
        <v>21</v>
      </c>
      <c r="L574" s="1" t="s">
        <v>30</v>
      </c>
      <c r="M574">
        <v>36</v>
      </c>
      <c r="N574" s="1" t="str" cm="1">
        <f t="array" ref="N574">_xlfn.IFS(M574&lt;40, " Adult", M574&lt;60, "Middle Age", M574&gt;=60, "Older Adult")</f>
        <v xml:space="preserve"> Adult</v>
      </c>
      <c r="O574" s="1" t="s">
        <v>14</v>
      </c>
      <c r="P574" s="1">
        <f>IF(O574="Yes", 1)</f>
        <v>1</v>
      </c>
      <c r="Q574" s="1"/>
    </row>
    <row r="575" spans="1:17" x14ac:dyDescent="0.25">
      <c r="A575">
        <v>26341</v>
      </c>
      <c r="B575" s="1" t="s">
        <v>31</v>
      </c>
      <c r="C575" s="1" t="s">
        <v>33</v>
      </c>
      <c r="D575" s="2">
        <v>70000</v>
      </c>
      <c r="E575" s="2" t="str">
        <f>IF(bike_buyers[[#This Row],[Income]]&lt;40000,"Under 40K", IF(bike_buyers[[#This Row],[Income]]&lt;60000,"40K-59K", IF(bike_buyers[[#This Row],[Income]]&lt;80000,"60K-79K", IF(bike_buyers[[#This Row],[Income]]&lt;100000,"80K-99K","100K+"))))</f>
        <v>60K-79K</v>
      </c>
      <c r="F575">
        <v>5</v>
      </c>
      <c r="G575" s="1" t="s">
        <v>29</v>
      </c>
      <c r="H575" s="1" t="s">
        <v>20</v>
      </c>
      <c r="I575" s="1" t="s">
        <v>14</v>
      </c>
      <c r="J575">
        <v>2</v>
      </c>
      <c r="K575" s="1" t="s">
        <v>15</v>
      </c>
      <c r="L575" s="1" t="s">
        <v>30</v>
      </c>
      <c r="M575">
        <v>37</v>
      </c>
      <c r="N575" s="1" t="str" cm="1">
        <f t="array" ref="N575">_xlfn.IFS(M575&lt;40, " Adult", M575&lt;60, "Middle Age", M575&gt;=60, "Older Adult")</f>
        <v xml:space="preserve"> Adult</v>
      </c>
      <c r="O575" s="1" t="s">
        <v>17</v>
      </c>
      <c r="P575" s="1" t="b">
        <f>IF(O575="Yes", 1)</f>
        <v>0</v>
      </c>
      <c r="Q575" s="1"/>
    </row>
    <row r="576" spans="1:17" x14ac:dyDescent="0.25">
      <c r="A576">
        <v>14493</v>
      </c>
      <c r="B576" s="1" t="s">
        <v>34</v>
      </c>
      <c r="C576" s="1" t="s">
        <v>33</v>
      </c>
      <c r="D576" s="2">
        <v>70000</v>
      </c>
      <c r="E576" s="2" t="str">
        <f>IF(bike_buyers[[#This Row],[Income]]&lt;40000,"Under 40K", IF(bike_buyers[[#This Row],[Income]]&lt;60000,"40K-59K", IF(bike_buyers[[#This Row],[Income]]&lt;80000,"60K-79K", IF(bike_buyers[[#This Row],[Income]]&lt;100000,"80K-99K","100K+"))))</f>
        <v>60K-79K</v>
      </c>
      <c r="F576">
        <v>3</v>
      </c>
      <c r="G576" s="1" t="s">
        <v>29</v>
      </c>
      <c r="H576" s="1" t="s">
        <v>27</v>
      </c>
      <c r="I576" s="1" t="s">
        <v>17</v>
      </c>
      <c r="J576">
        <v>2</v>
      </c>
      <c r="K576" s="1" t="s">
        <v>25</v>
      </c>
      <c r="L576" s="1" t="s">
        <v>30</v>
      </c>
      <c r="M576">
        <v>53</v>
      </c>
      <c r="N576" s="1" t="str" cm="1">
        <f t="array" ref="N576">_xlfn.IFS(M576&lt;40, " Adult", M576&lt;60, "Middle Age", M576&gt;=60, "Older Adult")</f>
        <v>Middle Age</v>
      </c>
      <c r="O576" s="1" t="s">
        <v>17</v>
      </c>
      <c r="P576" s="1" t="b">
        <f>IF(O576="Yes", 1)</f>
        <v>0</v>
      </c>
      <c r="Q576" s="1"/>
    </row>
    <row r="577" spans="1:17" x14ac:dyDescent="0.25">
      <c r="A577">
        <v>16144</v>
      </c>
      <c r="B577" s="1" t="s">
        <v>31</v>
      </c>
      <c r="C577" s="1" t="s">
        <v>32</v>
      </c>
      <c r="D577" s="2">
        <v>70000</v>
      </c>
      <c r="E577" s="2" t="str">
        <f>IF(bike_buyers[[#This Row],[Income]]&lt;40000,"Under 40K", IF(bike_buyers[[#This Row],[Income]]&lt;60000,"40K-59K", IF(bike_buyers[[#This Row],[Income]]&lt;80000,"60K-79K", IF(bike_buyers[[#This Row],[Income]]&lt;100000,"80K-99K","100K+"))))</f>
        <v>60K-79K</v>
      </c>
      <c r="F577">
        <v>1</v>
      </c>
      <c r="G577" s="1" t="s">
        <v>29</v>
      </c>
      <c r="H577" s="1" t="s">
        <v>20</v>
      </c>
      <c r="I577" s="1" t="s">
        <v>14</v>
      </c>
      <c r="J577">
        <v>1</v>
      </c>
      <c r="K577" s="1" t="s">
        <v>15</v>
      </c>
      <c r="L577" s="1" t="s">
        <v>30</v>
      </c>
      <c r="M577">
        <v>46</v>
      </c>
      <c r="N577" s="1" t="str" cm="1">
        <f t="array" ref="N577">_xlfn.IFS(M577&lt;40, " Adult", M577&lt;60, "Middle Age", M577&gt;=60, "Older Adult")</f>
        <v>Middle Age</v>
      </c>
      <c r="O577" s="1" t="s">
        <v>14</v>
      </c>
      <c r="P577" s="1">
        <f>IF(O577="Yes", 1)</f>
        <v>1</v>
      </c>
      <c r="Q577" s="1"/>
    </row>
    <row r="578" spans="1:17" x14ac:dyDescent="0.25">
      <c r="A578">
        <v>11886</v>
      </c>
      <c r="B578" s="1" t="s">
        <v>31</v>
      </c>
      <c r="C578" s="1" t="s">
        <v>33</v>
      </c>
      <c r="D578" s="2">
        <v>60000</v>
      </c>
      <c r="E578" s="2" t="str">
        <f>IF(bike_buyers[[#This Row],[Income]]&lt;40000,"Under 40K", IF(bike_buyers[[#This Row],[Income]]&lt;60000,"40K-59K", IF(bike_buyers[[#This Row],[Income]]&lt;80000,"60K-79K", IF(bike_buyers[[#This Row],[Income]]&lt;100000,"80K-99K","100K+"))))</f>
        <v>60K-79K</v>
      </c>
      <c r="F578">
        <v>3</v>
      </c>
      <c r="G578" s="1" t="s">
        <v>12</v>
      </c>
      <c r="H578" s="1" t="s">
        <v>20</v>
      </c>
      <c r="I578" s="1" t="s">
        <v>14</v>
      </c>
      <c r="J578">
        <v>1</v>
      </c>
      <c r="K578" s="1" t="s">
        <v>15</v>
      </c>
      <c r="L578" s="1" t="s">
        <v>30</v>
      </c>
      <c r="M578">
        <v>48</v>
      </c>
      <c r="N578" s="1" t="str" cm="1">
        <f t="array" ref="N578">_xlfn.IFS(M578&lt;40, " Adult", M578&lt;60, "Middle Age", M578&gt;=60, "Older Adult")</f>
        <v>Middle Age</v>
      </c>
      <c r="O578" s="1" t="s">
        <v>14</v>
      </c>
      <c r="P578" s="1">
        <f>IF(O578="Yes", 1)</f>
        <v>1</v>
      </c>
      <c r="Q578" s="1"/>
    </row>
    <row r="579" spans="1:17" x14ac:dyDescent="0.25">
      <c r="A579">
        <v>24324</v>
      </c>
      <c r="B579" s="1" t="s">
        <v>34</v>
      </c>
      <c r="C579" s="1" t="s">
        <v>33</v>
      </c>
      <c r="D579" s="2">
        <v>60000</v>
      </c>
      <c r="E579" s="2" t="str">
        <f>IF(bike_buyers[[#This Row],[Income]]&lt;40000,"Under 40K", IF(bike_buyers[[#This Row],[Income]]&lt;60000,"40K-59K", IF(bike_buyers[[#This Row],[Income]]&lt;80000,"60K-79K", IF(bike_buyers[[#This Row],[Income]]&lt;100000,"80K-99K","100K+"))))</f>
        <v>60K-79K</v>
      </c>
      <c r="F579">
        <v>4</v>
      </c>
      <c r="G579" s="1" t="s">
        <v>12</v>
      </c>
      <c r="H579" s="1" t="s">
        <v>13</v>
      </c>
      <c r="I579" s="1" t="s">
        <v>14</v>
      </c>
      <c r="J579">
        <v>2</v>
      </c>
      <c r="K579" s="1" t="s">
        <v>21</v>
      </c>
      <c r="L579" s="1" t="s">
        <v>30</v>
      </c>
      <c r="M579">
        <v>41</v>
      </c>
      <c r="N579" s="1" t="str" cm="1">
        <f t="array" ref="N579">_xlfn.IFS(M579&lt;40, " Adult", M579&lt;60, "Middle Age", M579&gt;=60, "Older Adult")</f>
        <v>Middle Age</v>
      </c>
      <c r="O579" s="1" t="s">
        <v>14</v>
      </c>
      <c r="P579" s="1">
        <f>IF(O579="Yes", 1)</f>
        <v>1</v>
      </c>
      <c r="Q579" s="1"/>
    </row>
    <row r="580" spans="1:17" x14ac:dyDescent="0.25">
      <c r="A580">
        <v>22220</v>
      </c>
      <c r="B580" s="1" t="s">
        <v>31</v>
      </c>
      <c r="C580" s="1" t="s">
        <v>32</v>
      </c>
      <c r="D580" s="2">
        <v>60000</v>
      </c>
      <c r="E580" s="2" t="str">
        <f>IF(bike_buyers[[#This Row],[Income]]&lt;40000,"Under 40K", IF(bike_buyers[[#This Row],[Income]]&lt;60000,"40K-59K", IF(bike_buyers[[#This Row],[Income]]&lt;80000,"60K-79K", IF(bike_buyers[[#This Row],[Income]]&lt;100000,"80K-99K","100K+"))))</f>
        <v>60K-79K</v>
      </c>
      <c r="F580">
        <v>2</v>
      </c>
      <c r="G580" s="1" t="s">
        <v>26</v>
      </c>
      <c r="H580" s="1" t="s">
        <v>20</v>
      </c>
      <c r="I580" s="1" t="s">
        <v>17</v>
      </c>
      <c r="J580">
        <v>2</v>
      </c>
      <c r="K580" s="1" t="s">
        <v>25</v>
      </c>
      <c r="L580" s="1" t="s">
        <v>30</v>
      </c>
      <c r="M580">
        <v>49</v>
      </c>
      <c r="N580" s="1" t="str" cm="1">
        <f t="array" ref="N580">_xlfn.IFS(M580&lt;40, " Adult", M580&lt;60, "Middle Age", M580&gt;=60, "Older Adult")</f>
        <v>Middle Age</v>
      </c>
      <c r="O580" s="1" t="s">
        <v>14</v>
      </c>
      <c r="P580" s="1">
        <f>IF(O580="Yes", 1)</f>
        <v>1</v>
      </c>
      <c r="Q580" s="1"/>
    </row>
    <row r="581" spans="1:17" x14ac:dyDescent="0.25">
      <c r="A581">
        <v>26625</v>
      </c>
      <c r="B581" s="1" t="s">
        <v>34</v>
      </c>
      <c r="C581" s="1" t="s">
        <v>33</v>
      </c>
      <c r="D581" s="2">
        <v>60000</v>
      </c>
      <c r="E581" s="2" t="str">
        <f>IF(bike_buyers[[#This Row],[Income]]&lt;40000,"Under 40K", IF(bike_buyers[[#This Row],[Income]]&lt;60000,"40K-59K", IF(bike_buyers[[#This Row],[Income]]&lt;80000,"60K-79K", IF(bike_buyers[[#This Row],[Income]]&lt;100000,"80K-99K","100K+"))))</f>
        <v>60K-79K</v>
      </c>
      <c r="F581">
        <v>0</v>
      </c>
      <c r="G581" s="1" t="s">
        <v>29</v>
      </c>
      <c r="H581" s="1" t="s">
        <v>20</v>
      </c>
      <c r="I581" s="1" t="s">
        <v>14</v>
      </c>
      <c r="J581">
        <v>1</v>
      </c>
      <c r="K581" s="1" t="s">
        <v>21</v>
      </c>
      <c r="L581" s="1" t="s">
        <v>30</v>
      </c>
      <c r="M581">
        <v>38</v>
      </c>
      <c r="N581" s="1" t="str" cm="1">
        <f t="array" ref="N581">_xlfn.IFS(M581&lt;40, " Adult", M581&lt;60, "Middle Age", M581&gt;=60, "Older Adult")</f>
        <v xml:space="preserve"> Adult</v>
      </c>
      <c r="O581" s="1" t="s">
        <v>14</v>
      </c>
      <c r="P581" s="1">
        <f>IF(O581="Yes", 1)</f>
        <v>1</v>
      </c>
      <c r="Q581" s="1"/>
    </row>
    <row r="582" spans="1:17" x14ac:dyDescent="0.25">
      <c r="A582">
        <v>18504</v>
      </c>
      <c r="B582" s="1" t="s">
        <v>31</v>
      </c>
      <c r="C582" s="1" t="s">
        <v>32</v>
      </c>
      <c r="D582" s="2">
        <v>70000</v>
      </c>
      <c r="E582" s="2" t="str">
        <f>IF(bike_buyers[[#This Row],[Income]]&lt;40000,"Under 40K", IF(bike_buyers[[#This Row],[Income]]&lt;60000,"40K-59K", IF(bike_buyers[[#This Row],[Income]]&lt;80000,"60K-79K", IF(bike_buyers[[#This Row],[Income]]&lt;100000,"80K-99K","100K+"))))</f>
        <v>60K-79K</v>
      </c>
      <c r="F582">
        <v>2</v>
      </c>
      <c r="G582" s="1" t="s">
        <v>28</v>
      </c>
      <c r="H582" s="1" t="s">
        <v>13</v>
      </c>
      <c r="I582" s="1" t="s">
        <v>17</v>
      </c>
      <c r="J582">
        <v>2</v>
      </c>
      <c r="K582" s="1" t="s">
        <v>25</v>
      </c>
      <c r="L582" s="1" t="s">
        <v>30</v>
      </c>
      <c r="M582">
        <v>49</v>
      </c>
      <c r="N582" s="1" t="str" cm="1">
        <f t="array" ref="N582">_xlfn.IFS(M582&lt;40, " Adult", M582&lt;60, "Middle Age", M582&gt;=60, "Older Adult")</f>
        <v>Middle Age</v>
      </c>
      <c r="O582" s="1" t="s">
        <v>17</v>
      </c>
      <c r="P582" s="1" t="b">
        <f>IF(O582="Yes", 1)</f>
        <v>0</v>
      </c>
      <c r="Q582" s="1"/>
    </row>
    <row r="583" spans="1:17" x14ac:dyDescent="0.25">
      <c r="A583">
        <v>11225</v>
      </c>
      <c r="B583" s="1" t="s">
        <v>31</v>
      </c>
      <c r="C583" s="1" t="s">
        <v>33</v>
      </c>
      <c r="D583" s="2">
        <v>60000</v>
      </c>
      <c r="E583" s="2" t="str">
        <f>IF(bike_buyers[[#This Row],[Income]]&lt;40000,"Under 40K", IF(bike_buyers[[#This Row],[Income]]&lt;60000,"40K-59K", IF(bike_buyers[[#This Row],[Income]]&lt;80000,"60K-79K", IF(bike_buyers[[#This Row],[Income]]&lt;100000,"80K-99K","100K+"))))</f>
        <v>60K-79K</v>
      </c>
      <c r="F583">
        <v>2</v>
      </c>
      <c r="G583" s="1" t="s">
        <v>18</v>
      </c>
      <c r="H583" s="1" t="s">
        <v>20</v>
      </c>
      <c r="I583" s="1" t="s">
        <v>14</v>
      </c>
      <c r="J583">
        <v>1</v>
      </c>
      <c r="K583" s="1" t="s">
        <v>62</v>
      </c>
      <c r="L583" s="1" t="s">
        <v>30</v>
      </c>
      <c r="M583">
        <v>55</v>
      </c>
      <c r="N583" s="1" t="str" cm="1">
        <f t="array" ref="N583">_xlfn.IFS(M583&lt;40, " Adult", M583&lt;60, "Middle Age", M583&gt;=60, "Older Adult")</f>
        <v>Middle Age</v>
      </c>
      <c r="O583" s="1" t="s">
        <v>17</v>
      </c>
      <c r="P583" s="1" t="b">
        <f>IF(O583="Yes", 1)</f>
        <v>0</v>
      </c>
      <c r="Q583" s="1"/>
    </row>
    <row r="584" spans="1:17" x14ac:dyDescent="0.25">
      <c r="A584">
        <v>20535</v>
      </c>
      <c r="B584" s="1" t="s">
        <v>31</v>
      </c>
      <c r="C584" s="1" t="s">
        <v>33</v>
      </c>
      <c r="D584" s="2">
        <v>70000</v>
      </c>
      <c r="E584" s="2" t="str">
        <f>IF(bike_buyers[[#This Row],[Income]]&lt;40000,"Under 40K", IF(bike_buyers[[#This Row],[Income]]&lt;60000,"40K-59K", IF(bike_buyers[[#This Row],[Income]]&lt;80000,"60K-79K", IF(bike_buyers[[#This Row],[Income]]&lt;100000,"80K-99K","100K+"))))</f>
        <v>60K-79K</v>
      </c>
      <c r="F584">
        <v>4</v>
      </c>
      <c r="G584" s="1" t="s">
        <v>18</v>
      </c>
      <c r="H584" s="1" t="s">
        <v>20</v>
      </c>
      <c r="I584" s="1" t="s">
        <v>14</v>
      </c>
      <c r="J584">
        <v>1</v>
      </c>
      <c r="K584" s="1" t="s">
        <v>62</v>
      </c>
      <c r="L584" s="1" t="s">
        <v>30</v>
      </c>
      <c r="M584">
        <v>56</v>
      </c>
      <c r="N584" s="1" t="str" cm="1">
        <f t="array" ref="N584">_xlfn.IFS(M584&lt;40, " Adult", M584&lt;60, "Middle Age", M584&gt;=60, "Older Adult")</f>
        <v>Middle Age</v>
      </c>
      <c r="O584" s="1" t="s">
        <v>17</v>
      </c>
      <c r="P584" s="1" t="b">
        <f>IF(O584="Yes", 1)</f>
        <v>0</v>
      </c>
      <c r="Q584" s="1"/>
    </row>
    <row r="585" spans="1:17" x14ac:dyDescent="0.25">
      <c r="A585">
        <v>12452</v>
      </c>
      <c r="B585" s="1" t="s">
        <v>31</v>
      </c>
      <c r="C585" s="1" t="s">
        <v>32</v>
      </c>
      <c r="D585" s="2">
        <v>60000</v>
      </c>
      <c r="E585" s="2" t="str">
        <f>IF(bike_buyers[[#This Row],[Income]]&lt;40000,"Under 40K", IF(bike_buyers[[#This Row],[Income]]&lt;60000,"40K-59K", IF(bike_buyers[[#This Row],[Income]]&lt;80000,"60K-79K", IF(bike_buyers[[#This Row],[Income]]&lt;100000,"80K-99K","100K+"))))</f>
        <v>60K-79K</v>
      </c>
      <c r="F585">
        <v>4</v>
      </c>
      <c r="G585" s="1" t="s">
        <v>29</v>
      </c>
      <c r="H585" s="1" t="s">
        <v>13</v>
      </c>
      <c r="I585" s="1" t="s">
        <v>14</v>
      </c>
      <c r="J585">
        <v>0</v>
      </c>
      <c r="K585" s="1" t="s">
        <v>25</v>
      </c>
      <c r="L585" s="1" t="s">
        <v>30</v>
      </c>
      <c r="M585">
        <v>47</v>
      </c>
      <c r="N585" s="1" t="str" cm="1">
        <f t="array" ref="N585">_xlfn.IFS(M585&lt;40, " Adult", M585&lt;60, "Middle Age", M585&gt;=60, "Older Adult")</f>
        <v>Middle Age</v>
      </c>
      <c r="O585" s="1" t="s">
        <v>14</v>
      </c>
      <c r="P585" s="1">
        <f>IF(O585="Yes", 1)</f>
        <v>1</v>
      </c>
      <c r="Q585" s="1"/>
    </row>
    <row r="586" spans="1:17" x14ac:dyDescent="0.25">
      <c r="A586">
        <v>28043</v>
      </c>
      <c r="B586" s="1" t="s">
        <v>31</v>
      </c>
      <c r="C586" s="1" t="s">
        <v>33</v>
      </c>
      <c r="D586" s="2">
        <v>60000</v>
      </c>
      <c r="E586" s="2" t="str">
        <f>IF(bike_buyers[[#This Row],[Income]]&lt;40000,"Under 40K", IF(bike_buyers[[#This Row],[Income]]&lt;60000,"40K-59K", IF(bike_buyers[[#This Row],[Income]]&lt;80000,"60K-79K", IF(bike_buyers[[#This Row],[Income]]&lt;100000,"80K-99K","100K+"))))</f>
        <v>60K-79K</v>
      </c>
      <c r="F586">
        <v>2</v>
      </c>
      <c r="G586" s="1" t="s">
        <v>12</v>
      </c>
      <c r="H586" s="1" t="s">
        <v>27</v>
      </c>
      <c r="I586" s="1" t="s">
        <v>14</v>
      </c>
      <c r="J586">
        <v>0</v>
      </c>
      <c r="K586" s="1" t="s">
        <v>62</v>
      </c>
      <c r="L586" s="1" t="s">
        <v>30</v>
      </c>
      <c r="M586">
        <v>56</v>
      </c>
      <c r="N586" s="1" t="str" cm="1">
        <f t="array" ref="N586">_xlfn.IFS(M586&lt;40, " Adult", M586&lt;60, "Middle Age", M586&gt;=60, "Older Adult")</f>
        <v>Middle Age</v>
      </c>
      <c r="O586" s="1" t="s">
        <v>17</v>
      </c>
      <c r="P586" s="1" t="b">
        <f>IF(O586="Yes", 1)</f>
        <v>0</v>
      </c>
      <c r="Q586" s="1"/>
    </row>
    <row r="587" spans="1:17" x14ac:dyDescent="0.25">
      <c r="A587">
        <v>12957</v>
      </c>
      <c r="B587" s="1" t="s">
        <v>34</v>
      </c>
      <c r="C587" s="1" t="s">
        <v>33</v>
      </c>
      <c r="D587" s="2">
        <v>70000</v>
      </c>
      <c r="E587" s="2" t="str">
        <f>IF(bike_buyers[[#This Row],[Income]]&lt;40000,"Under 40K", IF(bike_buyers[[#This Row],[Income]]&lt;60000,"40K-59K", IF(bike_buyers[[#This Row],[Income]]&lt;80000,"60K-79K", IF(bike_buyers[[#This Row],[Income]]&lt;100000,"80K-99K","100K+"))))</f>
        <v>60K-79K</v>
      </c>
      <c r="F587">
        <v>1</v>
      </c>
      <c r="G587" s="1" t="s">
        <v>12</v>
      </c>
      <c r="H587" s="1" t="s">
        <v>20</v>
      </c>
      <c r="I587" s="1" t="s">
        <v>17</v>
      </c>
      <c r="J587">
        <v>1</v>
      </c>
      <c r="K587" s="1" t="s">
        <v>15</v>
      </c>
      <c r="L587" s="1" t="s">
        <v>30</v>
      </c>
      <c r="M587">
        <v>44</v>
      </c>
      <c r="N587" s="1" t="str" cm="1">
        <f t="array" ref="N587">_xlfn.IFS(M587&lt;40, " Adult", M587&lt;60, "Middle Age", M587&gt;=60, "Older Adult")</f>
        <v>Middle Age</v>
      </c>
      <c r="O587" s="1" t="s">
        <v>17</v>
      </c>
      <c r="P587" s="1" t="b">
        <f>IF(O587="Yes", 1)</f>
        <v>0</v>
      </c>
      <c r="Q587" s="1"/>
    </row>
    <row r="588" spans="1:17" x14ac:dyDescent="0.25">
      <c r="A588">
        <v>20514</v>
      </c>
      <c r="B588" s="1" t="s">
        <v>31</v>
      </c>
      <c r="C588" s="1" t="s">
        <v>33</v>
      </c>
      <c r="D588" s="2">
        <v>70000</v>
      </c>
      <c r="E588" s="2" t="str">
        <f>IF(bike_buyers[[#This Row],[Income]]&lt;40000,"Under 40K", IF(bike_buyers[[#This Row],[Income]]&lt;60000,"40K-59K", IF(bike_buyers[[#This Row],[Income]]&lt;80000,"60K-79K", IF(bike_buyers[[#This Row],[Income]]&lt;100000,"80K-99K","100K+"))))</f>
        <v>60K-79K</v>
      </c>
      <c r="F588">
        <v>2</v>
      </c>
      <c r="G588" s="1" t="s">
        <v>18</v>
      </c>
      <c r="H588" s="1" t="s">
        <v>20</v>
      </c>
      <c r="I588" s="1" t="s">
        <v>14</v>
      </c>
      <c r="J588">
        <v>1</v>
      </c>
      <c r="K588" s="1" t="s">
        <v>21</v>
      </c>
      <c r="L588" s="1" t="s">
        <v>30</v>
      </c>
      <c r="M588">
        <v>59</v>
      </c>
      <c r="N588" s="1" t="str" cm="1">
        <f t="array" ref="N588">_xlfn.IFS(M588&lt;40, " Adult", M588&lt;60, "Middle Age", M588&gt;=60, "Older Adult")</f>
        <v>Middle Age</v>
      </c>
      <c r="O588" s="1" t="s">
        <v>17</v>
      </c>
      <c r="P588" s="1" t="b">
        <f>IF(O588="Yes", 1)</f>
        <v>0</v>
      </c>
      <c r="Q588" s="1"/>
    </row>
    <row r="589" spans="1:17" x14ac:dyDescent="0.25">
      <c r="A589">
        <v>11801</v>
      </c>
      <c r="B589" s="1" t="s">
        <v>31</v>
      </c>
      <c r="C589" s="1" t="s">
        <v>32</v>
      </c>
      <c r="D589" s="2">
        <v>60000</v>
      </c>
      <c r="E589" s="2" t="str">
        <f>IF(bike_buyers[[#This Row],[Income]]&lt;40000,"Under 40K", IF(bike_buyers[[#This Row],[Income]]&lt;60000,"40K-59K", IF(bike_buyers[[#This Row],[Income]]&lt;80000,"60K-79K", IF(bike_buyers[[#This Row],[Income]]&lt;100000,"80K-99K","100K+"))))</f>
        <v>60K-79K</v>
      </c>
      <c r="F589">
        <v>1</v>
      </c>
      <c r="G589" s="1" t="s">
        <v>29</v>
      </c>
      <c r="H589" s="1" t="s">
        <v>20</v>
      </c>
      <c r="I589" s="1" t="s">
        <v>14</v>
      </c>
      <c r="J589">
        <v>0</v>
      </c>
      <c r="K589" s="1" t="s">
        <v>21</v>
      </c>
      <c r="L589" s="1" t="s">
        <v>30</v>
      </c>
      <c r="M589">
        <v>36</v>
      </c>
      <c r="N589" s="1" t="str" cm="1">
        <f t="array" ref="N589">_xlfn.IFS(M589&lt;40, " Adult", M589&lt;60, "Middle Age", M589&gt;=60, "Older Adult")</f>
        <v xml:space="preserve"> Adult</v>
      </c>
      <c r="O589" s="1" t="s">
        <v>17</v>
      </c>
      <c r="P589" s="1" t="b">
        <f>IF(O589="Yes", 1)</f>
        <v>0</v>
      </c>
      <c r="Q589" s="1"/>
    </row>
    <row r="590" spans="1:17" x14ac:dyDescent="0.25">
      <c r="A590">
        <v>22211</v>
      </c>
      <c r="B590" s="1" t="s">
        <v>31</v>
      </c>
      <c r="C590" s="1" t="s">
        <v>32</v>
      </c>
      <c r="D590" s="2">
        <v>60000</v>
      </c>
      <c r="E590" s="2" t="str">
        <f>IF(bike_buyers[[#This Row],[Income]]&lt;40000,"Under 40K", IF(bike_buyers[[#This Row],[Income]]&lt;60000,"40K-59K", IF(bike_buyers[[#This Row],[Income]]&lt;80000,"60K-79K", IF(bike_buyers[[#This Row],[Income]]&lt;100000,"80K-99K","100K+"))))</f>
        <v>60K-79K</v>
      </c>
      <c r="F590">
        <v>0</v>
      </c>
      <c r="G590" s="1" t="s">
        <v>18</v>
      </c>
      <c r="H590" s="1" t="s">
        <v>20</v>
      </c>
      <c r="I590" s="1" t="s">
        <v>14</v>
      </c>
      <c r="J590">
        <v>2</v>
      </c>
      <c r="K590" s="1" t="s">
        <v>22</v>
      </c>
      <c r="L590" s="1" t="s">
        <v>30</v>
      </c>
      <c r="M590">
        <v>32</v>
      </c>
      <c r="N590" s="1" t="str" cm="1">
        <f t="array" ref="N590">_xlfn.IFS(M590&lt;40, " Adult", M590&lt;60, "Middle Age", M590&gt;=60, "Older Adult")</f>
        <v xml:space="preserve"> Adult</v>
      </c>
      <c r="O590" s="1" t="s">
        <v>17</v>
      </c>
      <c r="P590" s="1" t="b">
        <f>IF(O590="Yes", 1)</f>
        <v>0</v>
      </c>
      <c r="Q590" s="1"/>
    </row>
    <row r="591" spans="1:17" x14ac:dyDescent="0.25">
      <c r="A591">
        <v>27441</v>
      </c>
      <c r="B591" s="1" t="s">
        <v>31</v>
      </c>
      <c r="C591" s="1" t="s">
        <v>32</v>
      </c>
      <c r="D591" s="2">
        <v>60000</v>
      </c>
      <c r="E591" s="2" t="str">
        <f>IF(bike_buyers[[#This Row],[Income]]&lt;40000,"Under 40K", IF(bike_buyers[[#This Row],[Income]]&lt;60000,"40K-59K", IF(bike_buyers[[#This Row],[Income]]&lt;80000,"60K-79K", IF(bike_buyers[[#This Row],[Income]]&lt;100000,"80K-99K","100K+"))))</f>
        <v>60K-79K</v>
      </c>
      <c r="F591">
        <v>3</v>
      </c>
      <c r="G591" s="1" t="s">
        <v>26</v>
      </c>
      <c r="H591" s="1" t="s">
        <v>20</v>
      </c>
      <c r="I591" s="1" t="s">
        <v>17</v>
      </c>
      <c r="J591">
        <v>2</v>
      </c>
      <c r="K591" s="1" t="s">
        <v>21</v>
      </c>
      <c r="L591" s="1" t="s">
        <v>30</v>
      </c>
      <c r="M591">
        <v>53</v>
      </c>
      <c r="N591" s="1" t="str" cm="1">
        <f t="array" ref="N591">_xlfn.IFS(M591&lt;40, " Adult", M591&lt;60, "Middle Age", M591&gt;=60, "Older Adult")</f>
        <v>Middle Age</v>
      </c>
      <c r="O591" s="1" t="s">
        <v>17</v>
      </c>
      <c r="P591" s="1" t="b">
        <f>IF(O591="Yes", 1)</f>
        <v>0</v>
      </c>
      <c r="Q591" s="1"/>
    </row>
    <row r="592" spans="1:17" x14ac:dyDescent="0.25">
      <c r="A592">
        <v>23217</v>
      </c>
      <c r="B592" s="1" t="s">
        <v>34</v>
      </c>
      <c r="C592" s="1" t="s">
        <v>33</v>
      </c>
      <c r="D592" s="2">
        <v>60000</v>
      </c>
      <c r="E592" s="2" t="str">
        <f>IF(bike_buyers[[#This Row],[Income]]&lt;40000,"Under 40K", IF(bike_buyers[[#This Row],[Income]]&lt;60000,"40K-59K", IF(bike_buyers[[#This Row],[Income]]&lt;80000,"60K-79K", IF(bike_buyers[[#This Row],[Income]]&lt;100000,"80K-99K","100K+"))))</f>
        <v>60K-79K</v>
      </c>
      <c r="F592">
        <v>3</v>
      </c>
      <c r="G592" s="1" t="s">
        <v>29</v>
      </c>
      <c r="H592" s="1" t="s">
        <v>20</v>
      </c>
      <c r="I592" s="1" t="s">
        <v>14</v>
      </c>
      <c r="J592">
        <v>0</v>
      </c>
      <c r="K592" s="1" t="s">
        <v>21</v>
      </c>
      <c r="L592" s="1" t="s">
        <v>30</v>
      </c>
      <c r="M592">
        <v>43</v>
      </c>
      <c r="N592" s="1" t="str" cm="1">
        <f t="array" ref="N592">_xlfn.IFS(M592&lt;40, " Adult", M592&lt;60, "Middle Age", M592&gt;=60, "Older Adult")</f>
        <v>Middle Age</v>
      </c>
      <c r="O592" s="1" t="s">
        <v>14</v>
      </c>
      <c r="P592" s="1">
        <f>IF(O592="Yes", 1)</f>
        <v>1</v>
      </c>
      <c r="Q592" s="1"/>
    </row>
    <row r="593" spans="1:17" x14ac:dyDescent="0.25">
      <c r="A593">
        <v>13216</v>
      </c>
      <c r="B593" s="1" t="s">
        <v>31</v>
      </c>
      <c r="C593" s="1" t="s">
        <v>33</v>
      </c>
      <c r="D593" s="2">
        <v>60000</v>
      </c>
      <c r="E593" s="2" t="str">
        <f>IF(bike_buyers[[#This Row],[Income]]&lt;40000,"Under 40K", IF(bike_buyers[[#This Row],[Income]]&lt;60000,"40K-59K", IF(bike_buyers[[#This Row],[Income]]&lt;80000,"60K-79K", IF(bike_buyers[[#This Row],[Income]]&lt;100000,"80K-99K","100K+"))))</f>
        <v>60K-79K</v>
      </c>
      <c r="F593">
        <v>5</v>
      </c>
      <c r="G593" s="1" t="s">
        <v>12</v>
      </c>
      <c r="H593" s="1" t="s">
        <v>27</v>
      </c>
      <c r="I593" s="1" t="s">
        <v>14</v>
      </c>
      <c r="J593">
        <v>3</v>
      </c>
      <c r="K593" s="1" t="s">
        <v>62</v>
      </c>
      <c r="L593" s="1" t="s">
        <v>30</v>
      </c>
      <c r="M593">
        <v>59</v>
      </c>
      <c r="N593" s="1" t="str" cm="1">
        <f t="array" ref="N593">_xlfn.IFS(M593&lt;40, " Adult", M593&lt;60, "Middle Age", M593&gt;=60, "Older Adult")</f>
        <v>Middle Age</v>
      </c>
      <c r="O593" s="1" t="s">
        <v>17</v>
      </c>
      <c r="P593" s="1" t="b">
        <f>IF(O593="Yes", 1)</f>
        <v>0</v>
      </c>
      <c r="Q593" s="1"/>
    </row>
    <row r="594" spans="1:17" x14ac:dyDescent="0.25">
      <c r="A594">
        <v>25908</v>
      </c>
      <c r="B594" s="1" t="s">
        <v>31</v>
      </c>
      <c r="C594" s="1" t="s">
        <v>33</v>
      </c>
      <c r="D594" s="2">
        <v>60000</v>
      </c>
      <c r="E594" s="2" t="str">
        <f>IF(bike_buyers[[#This Row],[Income]]&lt;40000,"Under 40K", IF(bike_buyers[[#This Row],[Income]]&lt;60000,"40K-59K", IF(bike_buyers[[#This Row],[Income]]&lt;80000,"60K-79K", IF(bike_buyers[[#This Row],[Income]]&lt;100000,"80K-99K","100K+"))))</f>
        <v>60K-79K</v>
      </c>
      <c r="F594">
        <v>0</v>
      </c>
      <c r="G594" s="1" t="s">
        <v>18</v>
      </c>
      <c r="H594" s="1" t="s">
        <v>13</v>
      </c>
      <c r="I594" s="1" t="s">
        <v>17</v>
      </c>
      <c r="J594">
        <v>1</v>
      </c>
      <c r="K594" s="1" t="s">
        <v>25</v>
      </c>
      <c r="L594" s="1" t="s">
        <v>30</v>
      </c>
      <c r="M594">
        <v>27</v>
      </c>
      <c r="N594" s="1" t="str" cm="1">
        <f t="array" ref="N594">_xlfn.IFS(M594&lt;40, " Adult", M594&lt;60, "Middle Age", M594&gt;=60, "Older Adult")</f>
        <v xml:space="preserve"> Adult</v>
      </c>
      <c r="O594" s="1" t="s">
        <v>17</v>
      </c>
      <c r="P594" s="1" t="b">
        <f>IF(O594="Yes", 1)</f>
        <v>0</v>
      </c>
      <c r="Q594" s="1"/>
    </row>
    <row r="595" spans="1:17" x14ac:dyDescent="0.25">
      <c r="A595">
        <v>16753</v>
      </c>
      <c r="B595" s="1" t="s">
        <v>34</v>
      </c>
      <c r="C595" s="1" t="s">
        <v>33</v>
      </c>
      <c r="D595" s="2">
        <v>70000</v>
      </c>
      <c r="E595" s="2" t="str">
        <f>IF(bike_buyers[[#This Row],[Income]]&lt;40000,"Under 40K", IF(bike_buyers[[#This Row],[Income]]&lt;60000,"40K-59K", IF(bike_buyers[[#This Row],[Income]]&lt;80000,"60K-79K", IF(bike_buyers[[#This Row],[Income]]&lt;100000,"80K-99K","100K+"))))</f>
        <v>60K-79K</v>
      </c>
      <c r="F595">
        <v>0</v>
      </c>
      <c r="G595" s="1" t="s">
        <v>18</v>
      </c>
      <c r="H595" s="1" t="s">
        <v>13</v>
      </c>
      <c r="I595" s="1" t="s">
        <v>14</v>
      </c>
      <c r="J595">
        <v>2</v>
      </c>
      <c r="K595" s="1" t="s">
        <v>22</v>
      </c>
      <c r="L595" s="1" t="s">
        <v>30</v>
      </c>
      <c r="M595">
        <v>34</v>
      </c>
      <c r="N595" s="1" t="str" cm="1">
        <f t="array" ref="N595">_xlfn.IFS(M595&lt;40, " Adult", M595&lt;60, "Middle Age", M595&gt;=60, "Older Adult")</f>
        <v xml:space="preserve"> Adult</v>
      </c>
      <c r="O595" s="1" t="s">
        <v>14</v>
      </c>
      <c r="P595" s="1">
        <f>IF(O595="Yes", 1)</f>
        <v>1</v>
      </c>
      <c r="Q595" s="1"/>
    </row>
    <row r="596" spans="1:17" x14ac:dyDescent="0.25">
      <c r="A596">
        <v>24979</v>
      </c>
      <c r="B596" s="1" t="s">
        <v>31</v>
      </c>
      <c r="C596" s="1" t="s">
        <v>33</v>
      </c>
      <c r="D596" s="2">
        <v>60000</v>
      </c>
      <c r="E596" s="2" t="str">
        <f>IF(bike_buyers[[#This Row],[Income]]&lt;40000,"Under 40K", IF(bike_buyers[[#This Row],[Income]]&lt;60000,"40K-59K", IF(bike_buyers[[#This Row],[Income]]&lt;80000,"60K-79K", IF(bike_buyers[[#This Row],[Income]]&lt;100000,"80K-99K","100K+"))))</f>
        <v>60K-79K</v>
      </c>
      <c r="F596">
        <v>2</v>
      </c>
      <c r="G596" s="1" t="s">
        <v>18</v>
      </c>
      <c r="H596" s="1" t="s">
        <v>20</v>
      </c>
      <c r="I596" s="1" t="s">
        <v>14</v>
      </c>
      <c r="J596">
        <v>2</v>
      </c>
      <c r="K596" s="1" t="s">
        <v>21</v>
      </c>
      <c r="L596" s="1" t="s">
        <v>30</v>
      </c>
      <c r="M596">
        <v>57</v>
      </c>
      <c r="N596" s="1" t="str" cm="1">
        <f t="array" ref="N596">_xlfn.IFS(M596&lt;40, " Adult", M596&lt;60, "Middle Age", M596&gt;=60, "Older Adult")</f>
        <v>Middle Age</v>
      </c>
      <c r="O596" s="1" t="s">
        <v>14</v>
      </c>
      <c r="P596" s="1">
        <f>IF(O596="Yes", 1)</f>
        <v>1</v>
      </c>
      <c r="Q596" s="1"/>
    </row>
    <row r="597" spans="1:17" x14ac:dyDescent="0.25">
      <c r="A597">
        <v>17699</v>
      </c>
      <c r="B597" s="1" t="s">
        <v>31</v>
      </c>
      <c r="C597" s="1" t="s">
        <v>32</v>
      </c>
      <c r="D597" s="2">
        <v>60000</v>
      </c>
      <c r="E597" s="2" t="str">
        <f>IF(bike_buyers[[#This Row],[Income]]&lt;40000,"Under 40K", IF(bike_buyers[[#This Row],[Income]]&lt;60000,"40K-59K", IF(bike_buyers[[#This Row],[Income]]&lt;80000,"60K-79K", IF(bike_buyers[[#This Row],[Income]]&lt;100000,"80K-99K","100K+"))))</f>
        <v>60K-79K</v>
      </c>
      <c r="F597">
        <v>1</v>
      </c>
      <c r="G597" s="1" t="s">
        <v>29</v>
      </c>
      <c r="H597" s="1" t="s">
        <v>13</v>
      </c>
      <c r="I597" s="1" t="s">
        <v>17</v>
      </c>
      <c r="J597">
        <v>0</v>
      </c>
      <c r="K597" s="1" t="s">
        <v>15</v>
      </c>
      <c r="L597" s="1" t="s">
        <v>30</v>
      </c>
      <c r="M597">
        <v>55</v>
      </c>
      <c r="N597" s="1" t="str" cm="1">
        <f t="array" ref="N597">_xlfn.IFS(M597&lt;40, " Adult", M597&lt;60, "Middle Age", M597&gt;=60, "Older Adult")</f>
        <v>Middle Age</v>
      </c>
      <c r="O597" s="1" t="s">
        <v>17</v>
      </c>
      <c r="P597" s="1" t="b">
        <f>IF(O597="Yes", 1)</f>
        <v>0</v>
      </c>
      <c r="Q597" s="1"/>
    </row>
    <row r="598" spans="1:17" x14ac:dyDescent="0.25">
      <c r="A598">
        <v>11540</v>
      </c>
      <c r="B598" s="1" t="s">
        <v>34</v>
      </c>
      <c r="C598" s="1" t="s">
        <v>32</v>
      </c>
      <c r="D598" s="2">
        <v>60000</v>
      </c>
      <c r="E598" s="2" t="str">
        <f>IF(bike_buyers[[#This Row],[Income]]&lt;40000,"Under 40K", IF(bike_buyers[[#This Row],[Income]]&lt;60000,"40K-59K", IF(bike_buyers[[#This Row],[Income]]&lt;80000,"60K-79K", IF(bike_buyers[[#This Row],[Income]]&lt;100000,"80K-99K","100K+"))))</f>
        <v>60K-79K</v>
      </c>
      <c r="F598">
        <v>4</v>
      </c>
      <c r="G598" s="1" t="s">
        <v>29</v>
      </c>
      <c r="H598" s="1" t="s">
        <v>13</v>
      </c>
      <c r="I598" s="1" t="s">
        <v>14</v>
      </c>
      <c r="J598">
        <v>0</v>
      </c>
      <c r="K598" s="1" t="s">
        <v>25</v>
      </c>
      <c r="L598" s="1" t="s">
        <v>30</v>
      </c>
      <c r="M598">
        <v>47</v>
      </c>
      <c r="N598" s="1" t="str" cm="1">
        <f t="array" ref="N598">_xlfn.IFS(M598&lt;40, " Adult", M598&lt;60, "Middle Age", M598&gt;=60, "Older Adult")</f>
        <v>Middle Age</v>
      </c>
      <c r="O598" s="1" t="s">
        <v>14</v>
      </c>
      <c r="P598" s="1">
        <f>IF(O598="Yes", 1)</f>
        <v>1</v>
      </c>
      <c r="Q598" s="1"/>
    </row>
    <row r="599" spans="1:17" x14ac:dyDescent="0.25">
      <c r="A599">
        <v>11783</v>
      </c>
      <c r="B599" s="1" t="s">
        <v>31</v>
      </c>
      <c r="C599" s="1" t="s">
        <v>33</v>
      </c>
      <c r="D599" s="2">
        <v>60000</v>
      </c>
      <c r="E599" s="2" t="str">
        <f>IF(bike_buyers[[#This Row],[Income]]&lt;40000,"Under 40K", IF(bike_buyers[[#This Row],[Income]]&lt;60000,"40K-59K", IF(bike_buyers[[#This Row],[Income]]&lt;80000,"60K-79K", IF(bike_buyers[[#This Row],[Income]]&lt;100000,"80K-99K","100K+"))))</f>
        <v>60K-79K</v>
      </c>
      <c r="F599">
        <v>1</v>
      </c>
      <c r="G599" s="1" t="s">
        <v>29</v>
      </c>
      <c r="H599" s="1" t="s">
        <v>13</v>
      </c>
      <c r="I599" s="1" t="s">
        <v>14</v>
      </c>
      <c r="J599">
        <v>0</v>
      </c>
      <c r="K599" s="1" t="s">
        <v>15</v>
      </c>
      <c r="L599" s="1" t="s">
        <v>30</v>
      </c>
      <c r="M599">
        <v>34</v>
      </c>
      <c r="N599" s="1" t="str" cm="1">
        <f t="array" ref="N599">_xlfn.IFS(M599&lt;40, " Adult", M599&lt;60, "Middle Age", M599&gt;=60, "Older Adult")</f>
        <v xml:space="preserve"> Adult</v>
      </c>
      <c r="O599" s="1" t="s">
        <v>17</v>
      </c>
      <c r="P599" s="1" t="b">
        <f>IF(O599="Yes", 1)</f>
        <v>0</v>
      </c>
      <c r="Q599" s="1"/>
    </row>
    <row r="600" spans="1:17" x14ac:dyDescent="0.25">
      <c r="A600">
        <v>29030</v>
      </c>
      <c r="B600" s="1" t="s">
        <v>31</v>
      </c>
      <c r="C600" s="1" t="s">
        <v>32</v>
      </c>
      <c r="D600" s="2">
        <v>70000</v>
      </c>
      <c r="E600" s="2" t="str">
        <f>IF(bike_buyers[[#This Row],[Income]]&lt;40000,"Under 40K", IF(bike_buyers[[#This Row],[Income]]&lt;60000,"40K-59K", IF(bike_buyers[[#This Row],[Income]]&lt;80000,"60K-79K", IF(bike_buyers[[#This Row],[Income]]&lt;100000,"80K-99K","100K+"))))</f>
        <v>60K-79K</v>
      </c>
      <c r="F600">
        <v>2</v>
      </c>
      <c r="G600" s="1" t="s">
        <v>28</v>
      </c>
      <c r="H600" s="1" t="s">
        <v>13</v>
      </c>
      <c r="I600" s="1" t="s">
        <v>14</v>
      </c>
      <c r="J600">
        <v>2</v>
      </c>
      <c r="K600" s="1" t="s">
        <v>62</v>
      </c>
      <c r="L600" s="1" t="s">
        <v>30</v>
      </c>
      <c r="M600">
        <v>54</v>
      </c>
      <c r="N600" s="1" t="str" cm="1">
        <f t="array" ref="N600">_xlfn.IFS(M600&lt;40, " Adult", M600&lt;60, "Middle Age", M600&gt;=60, "Older Adult")</f>
        <v>Middle Age</v>
      </c>
      <c r="O600" s="1" t="s">
        <v>17</v>
      </c>
      <c r="P600" s="1" t="b">
        <f>IF(O600="Yes", 1)</f>
        <v>0</v>
      </c>
      <c r="Q600" s="1"/>
    </row>
    <row r="601" spans="1:17" x14ac:dyDescent="0.25">
      <c r="A601">
        <v>26490</v>
      </c>
      <c r="B601" s="1" t="s">
        <v>34</v>
      </c>
      <c r="C601" s="1" t="s">
        <v>32</v>
      </c>
      <c r="D601" s="2">
        <v>70000</v>
      </c>
      <c r="E601" s="2" t="str">
        <f>IF(bike_buyers[[#This Row],[Income]]&lt;40000,"Under 40K", IF(bike_buyers[[#This Row],[Income]]&lt;60000,"40K-59K", IF(bike_buyers[[#This Row],[Income]]&lt;80000,"60K-79K", IF(bike_buyers[[#This Row],[Income]]&lt;100000,"80K-99K","100K+"))))</f>
        <v>60K-79K</v>
      </c>
      <c r="F601">
        <v>2</v>
      </c>
      <c r="G601" s="1" t="s">
        <v>12</v>
      </c>
      <c r="H601" s="1" t="s">
        <v>27</v>
      </c>
      <c r="I601" s="1" t="s">
        <v>17</v>
      </c>
      <c r="J601">
        <v>1</v>
      </c>
      <c r="K601" s="1" t="s">
        <v>21</v>
      </c>
      <c r="L601" s="1" t="s">
        <v>30</v>
      </c>
      <c r="M601">
        <v>59</v>
      </c>
      <c r="N601" s="1" t="str" cm="1">
        <f t="array" ref="N601">_xlfn.IFS(M601&lt;40, " Adult", M601&lt;60, "Middle Age", M601&gt;=60, "Older Adult")</f>
        <v>Middle Age</v>
      </c>
      <c r="O601" s="1" t="s">
        <v>14</v>
      </c>
      <c r="P601" s="1">
        <f>IF(O601="Yes", 1)</f>
        <v>1</v>
      </c>
      <c r="Q601" s="1"/>
    </row>
    <row r="602" spans="1:17" x14ac:dyDescent="0.25">
      <c r="A602">
        <v>18105</v>
      </c>
      <c r="B602" s="1" t="s">
        <v>31</v>
      </c>
      <c r="C602" s="1" t="s">
        <v>33</v>
      </c>
      <c r="D602" s="2">
        <v>60000</v>
      </c>
      <c r="E602" s="2" t="str">
        <f>IF(bike_buyers[[#This Row],[Income]]&lt;40000,"Under 40K", IF(bike_buyers[[#This Row],[Income]]&lt;60000,"40K-59K", IF(bike_buyers[[#This Row],[Income]]&lt;80000,"60K-79K", IF(bike_buyers[[#This Row],[Income]]&lt;100000,"80K-99K","100K+"))))</f>
        <v>60K-79K</v>
      </c>
      <c r="F602">
        <v>2</v>
      </c>
      <c r="G602" s="1" t="s">
        <v>18</v>
      </c>
      <c r="H602" s="1" t="s">
        <v>20</v>
      </c>
      <c r="I602" s="1" t="s">
        <v>14</v>
      </c>
      <c r="J602">
        <v>1</v>
      </c>
      <c r="K602" s="1" t="s">
        <v>62</v>
      </c>
      <c r="L602" s="1" t="s">
        <v>30</v>
      </c>
      <c r="M602">
        <v>55</v>
      </c>
      <c r="N602" s="1" t="str" cm="1">
        <f t="array" ref="N602">_xlfn.IFS(M602&lt;40, " Adult", M602&lt;60, "Middle Age", M602&gt;=60, "Older Adult")</f>
        <v>Middle Age</v>
      </c>
      <c r="O602" s="1" t="s">
        <v>17</v>
      </c>
      <c r="P602" s="1" t="b">
        <f>IF(O602="Yes", 1)</f>
        <v>0</v>
      </c>
      <c r="Q602" s="1"/>
    </row>
    <row r="603" spans="1:17" x14ac:dyDescent="0.25">
      <c r="A603">
        <v>16112</v>
      </c>
      <c r="B603" s="1" t="s">
        <v>34</v>
      </c>
      <c r="C603" s="1" t="s">
        <v>32</v>
      </c>
      <c r="D603" s="2">
        <v>70000</v>
      </c>
      <c r="E603" s="2" t="str">
        <f>IF(bike_buyers[[#This Row],[Income]]&lt;40000,"Under 40K", IF(bike_buyers[[#This Row],[Income]]&lt;60000,"40K-59K", IF(bike_buyers[[#This Row],[Income]]&lt;80000,"60K-79K", IF(bike_buyers[[#This Row],[Income]]&lt;100000,"80K-99K","100K+"))))</f>
        <v>60K-79K</v>
      </c>
      <c r="F603">
        <v>4</v>
      </c>
      <c r="G603" s="1" t="s">
        <v>12</v>
      </c>
      <c r="H603" s="1" t="s">
        <v>20</v>
      </c>
      <c r="I603" s="1" t="s">
        <v>14</v>
      </c>
      <c r="J603">
        <v>2</v>
      </c>
      <c r="K603" s="1" t="s">
        <v>21</v>
      </c>
      <c r="L603" s="1" t="s">
        <v>30</v>
      </c>
      <c r="M603">
        <v>43</v>
      </c>
      <c r="N603" s="1" t="str" cm="1">
        <f t="array" ref="N603">_xlfn.IFS(M603&lt;40, " Adult", M603&lt;60, "Middle Age", M603&gt;=60, "Older Adult")</f>
        <v>Middle Age</v>
      </c>
      <c r="O603" s="1" t="s">
        <v>14</v>
      </c>
      <c r="P603" s="1">
        <f>IF(O603="Yes", 1)</f>
        <v>1</v>
      </c>
      <c r="Q603" s="1"/>
    </row>
    <row r="604" spans="1:17" x14ac:dyDescent="0.25">
      <c r="A604">
        <v>20698</v>
      </c>
      <c r="B604" s="1" t="s">
        <v>31</v>
      </c>
      <c r="C604" s="1" t="s">
        <v>32</v>
      </c>
      <c r="D604" s="2">
        <v>60000</v>
      </c>
      <c r="E604" s="2" t="str">
        <f>IF(bike_buyers[[#This Row],[Income]]&lt;40000,"Under 40K", IF(bike_buyers[[#This Row],[Income]]&lt;60000,"40K-59K", IF(bike_buyers[[#This Row],[Income]]&lt;80000,"60K-79K", IF(bike_buyers[[#This Row],[Income]]&lt;100000,"80K-99K","100K+"))))</f>
        <v>60K-79K</v>
      </c>
      <c r="F604">
        <v>4</v>
      </c>
      <c r="G604" s="1" t="s">
        <v>12</v>
      </c>
      <c r="H604" s="1" t="s">
        <v>13</v>
      </c>
      <c r="I604" s="1" t="s">
        <v>14</v>
      </c>
      <c r="J604">
        <v>3</v>
      </c>
      <c r="K604" s="1" t="s">
        <v>22</v>
      </c>
      <c r="L604" s="1" t="s">
        <v>30</v>
      </c>
      <c r="M604">
        <v>42</v>
      </c>
      <c r="N604" s="1" t="str" cm="1">
        <f t="array" ref="N604">_xlfn.IFS(M604&lt;40, " Adult", M604&lt;60, "Middle Age", M604&gt;=60, "Older Adult")</f>
        <v>Middle Age</v>
      </c>
      <c r="O604" s="1" t="s">
        <v>17</v>
      </c>
      <c r="P604" s="1" t="b">
        <f>IF(O604="Yes", 1)</f>
        <v>0</v>
      </c>
      <c r="Q604" s="1"/>
    </row>
    <row r="605" spans="1:17" x14ac:dyDescent="0.25">
      <c r="A605">
        <v>28031</v>
      </c>
      <c r="B605" s="1" t="s">
        <v>34</v>
      </c>
      <c r="C605" s="1" t="s">
        <v>33</v>
      </c>
      <c r="D605" s="2">
        <v>70000</v>
      </c>
      <c r="E605" s="2" t="str">
        <f>IF(bike_buyers[[#This Row],[Income]]&lt;40000,"Under 40K", IF(bike_buyers[[#This Row],[Income]]&lt;60000,"40K-59K", IF(bike_buyers[[#This Row],[Income]]&lt;80000,"60K-79K", IF(bike_buyers[[#This Row],[Income]]&lt;100000,"80K-99K","100K+"))))</f>
        <v>60K-79K</v>
      </c>
      <c r="F605">
        <v>2</v>
      </c>
      <c r="G605" s="1" t="s">
        <v>12</v>
      </c>
      <c r="H605" s="1" t="s">
        <v>27</v>
      </c>
      <c r="I605" s="1" t="s">
        <v>17</v>
      </c>
      <c r="J605">
        <v>1</v>
      </c>
      <c r="K605" s="1" t="s">
        <v>21</v>
      </c>
      <c r="L605" s="1" t="s">
        <v>30</v>
      </c>
      <c r="M605">
        <v>59</v>
      </c>
      <c r="N605" s="1" t="str" cm="1">
        <f t="array" ref="N605">_xlfn.IFS(M605&lt;40, " Adult", M605&lt;60, "Middle Age", M605&gt;=60, "Older Adult")</f>
        <v>Middle Age</v>
      </c>
      <c r="O605" s="1" t="s">
        <v>14</v>
      </c>
      <c r="P605" s="1">
        <f>IF(O605="Yes", 1)</f>
        <v>1</v>
      </c>
      <c r="Q605" s="1"/>
    </row>
    <row r="606" spans="1:17" x14ac:dyDescent="0.25">
      <c r="A606">
        <v>22221</v>
      </c>
      <c r="B606" s="1" t="s">
        <v>31</v>
      </c>
      <c r="C606" s="1" t="s">
        <v>32</v>
      </c>
      <c r="D606" s="2">
        <v>60000</v>
      </c>
      <c r="E606" s="2" t="str">
        <f>IF(bike_buyers[[#This Row],[Income]]&lt;40000,"Under 40K", IF(bike_buyers[[#This Row],[Income]]&lt;60000,"40K-59K", IF(bike_buyers[[#This Row],[Income]]&lt;80000,"60K-79K", IF(bike_buyers[[#This Row],[Income]]&lt;100000,"80K-99K","100K+"))))</f>
        <v>60K-79K</v>
      </c>
      <c r="F606">
        <v>2</v>
      </c>
      <c r="G606" s="1" t="s">
        <v>26</v>
      </c>
      <c r="H606" s="1" t="s">
        <v>20</v>
      </c>
      <c r="I606" s="1" t="s">
        <v>17</v>
      </c>
      <c r="J606">
        <v>2</v>
      </c>
      <c r="K606" s="1" t="s">
        <v>25</v>
      </c>
      <c r="L606" s="1" t="s">
        <v>30</v>
      </c>
      <c r="M606">
        <v>48</v>
      </c>
      <c r="N606" s="1" t="str" cm="1">
        <f t="array" ref="N606">_xlfn.IFS(M606&lt;40, " Adult", M606&lt;60, "Middle Age", M606&gt;=60, "Older Adult")</f>
        <v>Middle Age</v>
      </c>
      <c r="O606" s="1" t="s">
        <v>14</v>
      </c>
      <c r="P606" s="1">
        <f>IF(O606="Yes", 1)</f>
        <v>1</v>
      </c>
      <c r="Q606" s="1"/>
    </row>
    <row r="607" spans="1:17" x14ac:dyDescent="0.25">
      <c r="A607">
        <v>21306</v>
      </c>
      <c r="B607" s="1" t="s">
        <v>34</v>
      </c>
      <c r="C607" s="1" t="s">
        <v>32</v>
      </c>
      <c r="D607" s="2">
        <v>60000</v>
      </c>
      <c r="E607" s="2" t="str">
        <f>IF(bike_buyers[[#This Row],[Income]]&lt;40000,"Under 40K", IF(bike_buyers[[#This Row],[Income]]&lt;60000,"40K-59K", IF(bike_buyers[[#This Row],[Income]]&lt;80000,"60K-79K", IF(bike_buyers[[#This Row],[Income]]&lt;100000,"80K-99K","100K+"))))</f>
        <v>60K-79K</v>
      </c>
      <c r="F607">
        <v>2</v>
      </c>
      <c r="G607" s="1" t="s">
        <v>26</v>
      </c>
      <c r="H607" s="1" t="s">
        <v>20</v>
      </c>
      <c r="I607" s="1" t="s">
        <v>14</v>
      </c>
      <c r="J607">
        <v>2</v>
      </c>
      <c r="K607" s="1" t="s">
        <v>22</v>
      </c>
      <c r="L607" s="1" t="s">
        <v>30</v>
      </c>
      <c r="M607">
        <v>51</v>
      </c>
      <c r="N607" s="1" t="str" cm="1">
        <f t="array" ref="N607">_xlfn.IFS(M607&lt;40, " Adult", M607&lt;60, "Middle Age", M607&gt;=60, "Older Adult")</f>
        <v>Middle Age</v>
      </c>
      <c r="O607" s="1" t="s">
        <v>17</v>
      </c>
      <c r="P607" s="1" t="b">
        <f>IF(O607="Yes", 1)</f>
        <v>0</v>
      </c>
      <c r="Q607" s="1"/>
    </row>
    <row r="608" spans="1:17" x14ac:dyDescent="0.25">
      <c r="A608">
        <v>13382</v>
      </c>
      <c r="B608" s="1" t="s">
        <v>31</v>
      </c>
      <c r="C608" s="1" t="s">
        <v>32</v>
      </c>
      <c r="D608" s="2">
        <v>70000</v>
      </c>
      <c r="E608" s="2" t="str">
        <f>IF(bike_buyers[[#This Row],[Income]]&lt;40000,"Under 40K", IF(bike_buyers[[#This Row],[Income]]&lt;60000,"40K-59K", IF(bike_buyers[[#This Row],[Income]]&lt;80000,"60K-79K", IF(bike_buyers[[#This Row],[Income]]&lt;100000,"80K-99K","100K+"))))</f>
        <v>60K-79K</v>
      </c>
      <c r="F608">
        <v>5</v>
      </c>
      <c r="G608" s="1" t="s">
        <v>18</v>
      </c>
      <c r="H608" s="1" t="s">
        <v>20</v>
      </c>
      <c r="I608" s="1" t="s">
        <v>14</v>
      </c>
      <c r="J608">
        <v>2</v>
      </c>
      <c r="K608" s="1" t="s">
        <v>25</v>
      </c>
      <c r="L608" s="1" t="s">
        <v>30</v>
      </c>
      <c r="M608">
        <v>57</v>
      </c>
      <c r="N608" s="1" t="str" cm="1">
        <f t="array" ref="N608">_xlfn.IFS(M608&lt;40, " Adult", M608&lt;60, "Middle Age", M608&gt;=60, "Older Adult")</f>
        <v>Middle Age</v>
      </c>
      <c r="O608" s="1" t="s">
        <v>14</v>
      </c>
      <c r="P608" s="1">
        <f>IF(O608="Yes", 1)</f>
        <v>1</v>
      </c>
      <c r="Q608" s="1"/>
    </row>
    <row r="609" spans="1:17" x14ac:dyDescent="0.25">
      <c r="A609">
        <v>20310</v>
      </c>
      <c r="B609" s="1" t="s">
        <v>34</v>
      </c>
      <c r="C609" s="1" t="s">
        <v>32</v>
      </c>
      <c r="D609" s="2">
        <v>60000</v>
      </c>
      <c r="E609" s="2" t="str">
        <f>IF(bike_buyers[[#This Row],[Income]]&lt;40000,"Under 40K", IF(bike_buyers[[#This Row],[Income]]&lt;60000,"40K-59K", IF(bike_buyers[[#This Row],[Income]]&lt;80000,"60K-79K", IF(bike_buyers[[#This Row],[Income]]&lt;100000,"80K-99K","100K+"))))</f>
        <v>60K-79K</v>
      </c>
      <c r="F609">
        <v>0</v>
      </c>
      <c r="G609" s="1" t="s">
        <v>18</v>
      </c>
      <c r="H609" s="1" t="s">
        <v>13</v>
      </c>
      <c r="I609" s="1" t="s">
        <v>14</v>
      </c>
      <c r="J609">
        <v>1</v>
      </c>
      <c r="K609" s="1" t="s">
        <v>22</v>
      </c>
      <c r="L609" s="1" t="s">
        <v>30</v>
      </c>
      <c r="M609">
        <v>27</v>
      </c>
      <c r="N609" s="1" t="str" cm="1">
        <f t="array" ref="N609">_xlfn.IFS(M609&lt;40, " Adult", M609&lt;60, "Middle Age", M609&gt;=60, "Older Adult")</f>
        <v xml:space="preserve"> Adult</v>
      </c>
      <c r="O609" s="1" t="s">
        <v>14</v>
      </c>
      <c r="P609" s="1">
        <f>IF(O609="Yes", 1)</f>
        <v>1</v>
      </c>
      <c r="Q609" s="1"/>
    </row>
    <row r="610" spans="1:17" x14ac:dyDescent="0.25">
      <c r="A610">
        <v>15532</v>
      </c>
      <c r="B610" s="1" t="s">
        <v>34</v>
      </c>
      <c r="C610" s="1" t="s">
        <v>32</v>
      </c>
      <c r="D610" s="2">
        <v>60000</v>
      </c>
      <c r="E610" s="2" t="str">
        <f>IF(bike_buyers[[#This Row],[Income]]&lt;40000,"Under 40K", IF(bike_buyers[[#This Row],[Income]]&lt;60000,"40K-59K", IF(bike_buyers[[#This Row],[Income]]&lt;80000,"60K-79K", IF(bike_buyers[[#This Row],[Income]]&lt;100000,"80K-99K","100K+"))))</f>
        <v>60K-79K</v>
      </c>
      <c r="F610">
        <v>4</v>
      </c>
      <c r="G610" s="1" t="s">
        <v>12</v>
      </c>
      <c r="H610" s="1" t="s">
        <v>20</v>
      </c>
      <c r="I610" s="1" t="s">
        <v>14</v>
      </c>
      <c r="J610">
        <v>2</v>
      </c>
      <c r="K610" s="1" t="s">
        <v>21</v>
      </c>
      <c r="L610" s="1" t="s">
        <v>30</v>
      </c>
      <c r="M610">
        <v>43</v>
      </c>
      <c r="N610" s="1" t="str" cm="1">
        <f t="array" ref="N610">_xlfn.IFS(M610&lt;40, " Adult", M610&lt;60, "Middle Age", M610&gt;=60, "Older Adult")</f>
        <v>Middle Age</v>
      </c>
      <c r="O610" s="1" t="s">
        <v>14</v>
      </c>
      <c r="P610" s="1">
        <f>IF(O610="Yes", 1)</f>
        <v>1</v>
      </c>
      <c r="Q610" s="1"/>
    </row>
    <row r="611" spans="1:17" x14ac:dyDescent="0.25">
      <c r="A611">
        <v>11255</v>
      </c>
      <c r="B611" s="1" t="s">
        <v>31</v>
      </c>
      <c r="C611" s="1" t="s">
        <v>32</v>
      </c>
      <c r="D611" s="2">
        <v>70000</v>
      </c>
      <c r="E611" s="2" t="str">
        <f>IF(bike_buyers[[#This Row],[Income]]&lt;40000,"Under 40K", IF(bike_buyers[[#This Row],[Income]]&lt;60000,"40K-59K", IF(bike_buyers[[#This Row],[Income]]&lt;80000,"60K-79K", IF(bike_buyers[[#This Row],[Income]]&lt;100000,"80K-99K","100K+"))))</f>
        <v>60K-79K</v>
      </c>
      <c r="F611">
        <v>4</v>
      </c>
      <c r="G611" s="1" t="s">
        <v>29</v>
      </c>
      <c r="H611" s="1" t="s">
        <v>27</v>
      </c>
      <c r="I611" s="1" t="s">
        <v>14</v>
      </c>
      <c r="J611">
        <v>2</v>
      </c>
      <c r="K611" s="1" t="s">
        <v>22</v>
      </c>
      <c r="L611" s="1" t="s">
        <v>30</v>
      </c>
      <c r="M611">
        <v>73</v>
      </c>
      <c r="N611" s="1" t="str" cm="1">
        <f t="array" ref="N611">_xlfn.IFS(M611&lt;40, " Adult", M611&lt;60, "Middle Age", M611&gt;=60, "Older Adult")</f>
        <v>Older Adult</v>
      </c>
      <c r="O611" s="1" t="s">
        <v>17</v>
      </c>
      <c r="P611" s="1" t="b">
        <f>IF(O611="Yes", 1)</f>
        <v>0</v>
      </c>
      <c r="Q611" s="1"/>
    </row>
    <row r="612" spans="1:17" x14ac:dyDescent="0.25">
      <c r="A612">
        <v>21417</v>
      </c>
      <c r="B612" s="1" t="s">
        <v>34</v>
      </c>
      <c r="C612" s="1" t="s">
        <v>33</v>
      </c>
      <c r="D612" s="2">
        <v>60000</v>
      </c>
      <c r="E612" s="2" t="str">
        <f>IF(bike_buyers[[#This Row],[Income]]&lt;40000,"Under 40K", IF(bike_buyers[[#This Row],[Income]]&lt;60000,"40K-59K", IF(bike_buyers[[#This Row],[Income]]&lt;80000,"60K-79K", IF(bike_buyers[[#This Row],[Income]]&lt;100000,"80K-99K","100K+"))))</f>
        <v>60K-79K</v>
      </c>
      <c r="F612">
        <v>0</v>
      </c>
      <c r="G612" s="1" t="s">
        <v>18</v>
      </c>
      <c r="H612" s="1" t="s">
        <v>20</v>
      </c>
      <c r="I612" s="1" t="s">
        <v>17</v>
      </c>
      <c r="J612">
        <v>2</v>
      </c>
      <c r="K612" s="1" t="s">
        <v>25</v>
      </c>
      <c r="L612" s="1" t="s">
        <v>30</v>
      </c>
      <c r="M612">
        <v>32</v>
      </c>
      <c r="N612" s="1" t="str" cm="1">
        <f t="array" ref="N612">_xlfn.IFS(M612&lt;40, " Adult", M612&lt;60, "Middle Age", M612&gt;=60, "Older Adult")</f>
        <v xml:space="preserve"> Adult</v>
      </c>
      <c r="O612" s="1" t="s">
        <v>14</v>
      </c>
      <c r="P612" s="1">
        <f>IF(O612="Yes", 1)</f>
        <v>1</v>
      </c>
      <c r="Q612" s="1"/>
    </row>
    <row r="613" spans="1:17" x14ac:dyDescent="0.25">
      <c r="A613">
        <v>20376</v>
      </c>
      <c r="B613" s="1" t="s">
        <v>34</v>
      </c>
      <c r="C613" s="1" t="s">
        <v>33</v>
      </c>
      <c r="D613" s="2">
        <v>70000</v>
      </c>
      <c r="E613" s="2" t="str">
        <f>IF(bike_buyers[[#This Row],[Income]]&lt;40000,"Under 40K", IF(bike_buyers[[#This Row],[Income]]&lt;60000,"40K-59K", IF(bike_buyers[[#This Row],[Income]]&lt;80000,"60K-79K", IF(bike_buyers[[#This Row],[Income]]&lt;100000,"80K-99K","100K+"))))</f>
        <v>60K-79K</v>
      </c>
      <c r="F613">
        <v>3</v>
      </c>
      <c r="G613" s="1" t="s">
        <v>29</v>
      </c>
      <c r="H613" s="1" t="s">
        <v>27</v>
      </c>
      <c r="I613" s="1" t="s">
        <v>14</v>
      </c>
      <c r="J613">
        <v>2</v>
      </c>
      <c r="K613" s="1" t="s">
        <v>22</v>
      </c>
      <c r="L613" s="1" t="s">
        <v>30</v>
      </c>
      <c r="M613">
        <v>52</v>
      </c>
      <c r="N613" s="1" t="str" cm="1">
        <f t="array" ref="N613">_xlfn.IFS(M613&lt;40, " Adult", M613&lt;60, "Middle Age", M613&gt;=60, "Older Adult")</f>
        <v>Middle Age</v>
      </c>
      <c r="O613" s="1" t="s">
        <v>14</v>
      </c>
      <c r="P613" s="1">
        <f>IF(O613="Yes", 1)</f>
        <v>1</v>
      </c>
      <c r="Q613" s="1"/>
    </row>
    <row r="614" spans="1:17" x14ac:dyDescent="0.25">
      <c r="A614">
        <v>25954</v>
      </c>
      <c r="B614" s="1" t="s">
        <v>31</v>
      </c>
      <c r="C614" s="1" t="s">
        <v>32</v>
      </c>
      <c r="D614" s="2">
        <v>60000</v>
      </c>
      <c r="E614" s="2" t="str">
        <f>IF(bike_buyers[[#This Row],[Income]]&lt;40000,"Under 40K", IF(bike_buyers[[#This Row],[Income]]&lt;60000,"40K-59K", IF(bike_buyers[[#This Row],[Income]]&lt;80000,"60K-79K", IF(bike_buyers[[#This Row],[Income]]&lt;100000,"80K-99K","100K+"))))</f>
        <v>60K-79K</v>
      </c>
      <c r="F614">
        <v>0</v>
      </c>
      <c r="G614" s="1" t="s">
        <v>18</v>
      </c>
      <c r="H614" s="1" t="s">
        <v>13</v>
      </c>
      <c r="I614" s="1" t="s">
        <v>17</v>
      </c>
      <c r="J614">
        <v>2</v>
      </c>
      <c r="K614" s="1" t="s">
        <v>25</v>
      </c>
      <c r="L614" s="1" t="s">
        <v>30</v>
      </c>
      <c r="M614">
        <v>31</v>
      </c>
      <c r="N614" s="1" t="str" cm="1">
        <f t="array" ref="N614">_xlfn.IFS(M614&lt;40, " Adult", M614&lt;60, "Middle Age", M614&gt;=60, "Older Adult")</f>
        <v xml:space="preserve"> Adult</v>
      </c>
      <c r="O614" s="1" t="s">
        <v>17</v>
      </c>
      <c r="P614" s="1" t="b">
        <f>IF(O614="Yes", 1)</f>
        <v>0</v>
      </c>
      <c r="Q614" s="1"/>
    </row>
    <row r="615" spans="1:17" x14ac:dyDescent="0.25">
      <c r="A615">
        <v>15749</v>
      </c>
      <c r="B615" s="1" t="s">
        <v>34</v>
      </c>
      <c r="C615" s="1" t="s">
        <v>33</v>
      </c>
      <c r="D615" s="2">
        <v>70000</v>
      </c>
      <c r="E615" s="2" t="str">
        <f>IF(bike_buyers[[#This Row],[Income]]&lt;40000,"Under 40K", IF(bike_buyers[[#This Row],[Income]]&lt;60000,"40K-59K", IF(bike_buyers[[#This Row],[Income]]&lt;80000,"60K-79K", IF(bike_buyers[[#This Row],[Income]]&lt;100000,"80K-99K","100K+"))))</f>
        <v>60K-79K</v>
      </c>
      <c r="F615">
        <v>4</v>
      </c>
      <c r="G615" s="1" t="s">
        <v>12</v>
      </c>
      <c r="H615" s="1" t="s">
        <v>27</v>
      </c>
      <c r="I615" s="1" t="s">
        <v>14</v>
      </c>
      <c r="J615">
        <v>2</v>
      </c>
      <c r="K615" s="1" t="s">
        <v>62</v>
      </c>
      <c r="L615" s="1" t="s">
        <v>30</v>
      </c>
      <c r="M615">
        <v>61</v>
      </c>
      <c r="N615" s="1" t="str" cm="1">
        <f t="array" ref="N615">_xlfn.IFS(M615&lt;40, " Adult", M615&lt;60, "Middle Age", M615&gt;=60, "Older Adult")</f>
        <v>Older Adult</v>
      </c>
      <c r="O615" s="1" t="s">
        <v>17</v>
      </c>
      <c r="P615" s="1" t="b">
        <f>IF(O615="Yes", 1)</f>
        <v>0</v>
      </c>
      <c r="Q615" s="1"/>
    </row>
    <row r="616" spans="1:17" x14ac:dyDescent="0.25">
      <c r="A616">
        <v>25899</v>
      </c>
      <c r="B616" s="1" t="s">
        <v>31</v>
      </c>
      <c r="C616" s="1" t="s">
        <v>33</v>
      </c>
      <c r="D616" s="2">
        <v>70000</v>
      </c>
      <c r="E616" s="2" t="str">
        <f>IF(bike_buyers[[#This Row],[Income]]&lt;40000,"Under 40K", IF(bike_buyers[[#This Row],[Income]]&lt;60000,"40K-59K", IF(bike_buyers[[#This Row],[Income]]&lt;80000,"60K-79K", IF(bike_buyers[[#This Row],[Income]]&lt;100000,"80K-99K","100K+"))))</f>
        <v>60K-79K</v>
      </c>
      <c r="F616">
        <v>2</v>
      </c>
      <c r="G616" s="1" t="s">
        <v>26</v>
      </c>
      <c r="H616" s="1" t="s">
        <v>20</v>
      </c>
      <c r="I616" s="1" t="s">
        <v>14</v>
      </c>
      <c r="J616">
        <v>2</v>
      </c>
      <c r="K616" s="1" t="s">
        <v>62</v>
      </c>
      <c r="L616" s="1" t="s">
        <v>30</v>
      </c>
      <c r="M616">
        <v>53</v>
      </c>
      <c r="N616" s="1" t="str" cm="1">
        <f t="array" ref="N616">_xlfn.IFS(M616&lt;40, " Adult", M616&lt;60, "Middle Age", M616&gt;=60, "Older Adult")</f>
        <v>Middle Age</v>
      </c>
      <c r="O616" s="1" t="s">
        <v>17</v>
      </c>
      <c r="P616" s="1" t="b">
        <f>IF(O616="Yes", 1)</f>
        <v>0</v>
      </c>
      <c r="Q616" s="1"/>
    </row>
    <row r="617" spans="1:17" x14ac:dyDescent="0.25">
      <c r="A617">
        <v>13351</v>
      </c>
      <c r="B617" s="1" t="s">
        <v>34</v>
      </c>
      <c r="C617" s="1" t="s">
        <v>33</v>
      </c>
      <c r="D617" s="2">
        <v>70000</v>
      </c>
      <c r="E617" s="2" t="str">
        <f>IF(bike_buyers[[#This Row],[Income]]&lt;40000,"Under 40K", IF(bike_buyers[[#This Row],[Income]]&lt;60000,"40K-59K", IF(bike_buyers[[#This Row],[Income]]&lt;80000,"60K-79K", IF(bike_buyers[[#This Row],[Income]]&lt;100000,"80K-99K","100K+"))))</f>
        <v>60K-79K</v>
      </c>
      <c r="F617">
        <v>4</v>
      </c>
      <c r="G617" s="1" t="s">
        <v>12</v>
      </c>
      <c r="H617" s="1" t="s">
        <v>27</v>
      </c>
      <c r="I617" s="1" t="s">
        <v>14</v>
      </c>
      <c r="J617">
        <v>2</v>
      </c>
      <c r="K617" s="1" t="s">
        <v>25</v>
      </c>
      <c r="L617" s="1" t="s">
        <v>30</v>
      </c>
      <c r="M617">
        <v>62</v>
      </c>
      <c r="N617" s="1" t="str" cm="1">
        <f t="array" ref="N617">_xlfn.IFS(M617&lt;40, " Adult", M617&lt;60, "Middle Age", M617&gt;=60, "Older Adult")</f>
        <v>Older Adult</v>
      </c>
      <c r="O617" s="1" t="s">
        <v>14</v>
      </c>
      <c r="P617" s="1">
        <f>IF(O617="Yes", 1)</f>
        <v>1</v>
      </c>
      <c r="Q617" s="1"/>
    </row>
    <row r="618" spans="1:17" x14ac:dyDescent="0.25">
      <c r="A618">
        <v>21660</v>
      </c>
      <c r="B618" s="1" t="s">
        <v>31</v>
      </c>
      <c r="C618" s="1" t="s">
        <v>33</v>
      </c>
      <c r="D618" s="2">
        <v>60000</v>
      </c>
      <c r="E618" s="2" t="str">
        <f>IF(bike_buyers[[#This Row],[Income]]&lt;40000,"Under 40K", IF(bike_buyers[[#This Row],[Income]]&lt;60000,"40K-59K", IF(bike_buyers[[#This Row],[Income]]&lt;80000,"60K-79K", IF(bike_buyers[[#This Row],[Income]]&lt;100000,"80K-99K","100K+"))))</f>
        <v>60K-79K</v>
      </c>
      <c r="F618">
        <v>3</v>
      </c>
      <c r="G618" s="1" t="s">
        <v>29</v>
      </c>
      <c r="H618" s="1" t="s">
        <v>20</v>
      </c>
      <c r="I618" s="1" t="s">
        <v>14</v>
      </c>
      <c r="J618">
        <v>0</v>
      </c>
      <c r="K618" s="1" t="s">
        <v>21</v>
      </c>
      <c r="L618" s="1" t="s">
        <v>30</v>
      </c>
      <c r="M618">
        <v>43</v>
      </c>
      <c r="N618" s="1" t="str" cm="1">
        <f t="array" ref="N618">_xlfn.IFS(M618&lt;40, " Adult", M618&lt;60, "Middle Age", M618&gt;=60, "Older Adult")</f>
        <v>Middle Age</v>
      </c>
      <c r="O618" s="1" t="s">
        <v>14</v>
      </c>
      <c r="P618" s="1">
        <f>IF(O618="Yes", 1)</f>
        <v>1</v>
      </c>
      <c r="Q618" s="1"/>
    </row>
    <row r="619" spans="1:17" x14ac:dyDescent="0.25">
      <c r="A619">
        <v>17012</v>
      </c>
      <c r="B619" s="1" t="s">
        <v>31</v>
      </c>
      <c r="C619" s="1" t="s">
        <v>33</v>
      </c>
      <c r="D619" s="2">
        <v>60000</v>
      </c>
      <c r="E619" s="2" t="str">
        <f>IF(bike_buyers[[#This Row],[Income]]&lt;40000,"Under 40K", IF(bike_buyers[[#This Row],[Income]]&lt;60000,"40K-59K", IF(bike_buyers[[#This Row],[Income]]&lt;80000,"60K-79K", IF(bike_buyers[[#This Row],[Income]]&lt;100000,"80K-99K","100K+"))))</f>
        <v>60K-79K</v>
      </c>
      <c r="F619">
        <v>3</v>
      </c>
      <c r="G619" s="1" t="s">
        <v>29</v>
      </c>
      <c r="H619" s="1" t="s">
        <v>20</v>
      </c>
      <c r="I619" s="1" t="s">
        <v>14</v>
      </c>
      <c r="J619">
        <v>0</v>
      </c>
      <c r="K619" s="1" t="s">
        <v>21</v>
      </c>
      <c r="L619" s="1" t="s">
        <v>30</v>
      </c>
      <c r="M619">
        <v>42</v>
      </c>
      <c r="N619" s="1" t="str" cm="1">
        <f t="array" ref="N619">_xlfn.IFS(M619&lt;40, " Adult", M619&lt;60, "Middle Age", M619&gt;=60, "Older Adult")</f>
        <v>Middle Age</v>
      </c>
      <c r="O619" s="1" t="s">
        <v>14</v>
      </c>
      <c r="P619" s="1">
        <f>IF(O619="Yes", 1)</f>
        <v>1</v>
      </c>
      <c r="Q619" s="1"/>
    </row>
    <row r="620" spans="1:17" x14ac:dyDescent="0.25">
      <c r="A620">
        <v>26582</v>
      </c>
      <c r="B620" s="1" t="s">
        <v>31</v>
      </c>
      <c r="C620" s="1" t="s">
        <v>32</v>
      </c>
      <c r="D620" s="2">
        <v>60000</v>
      </c>
      <c r="E620" s="2" t="str">
        <f>IF(bike_buyers[[#This Row],[Income]]&lt;40000,"Under 40K", IF(bike_buyers[[#This Row],[Income]]&lt;60000,"40K-59K", IF(bike_buyers[[#This Row],[Income]]&lt;80000,"60K-79K", IF(bike_buyers[[#This Row],[Income]]&lt;100000,"80K-99K","100K+"))))</f>
        <v>60K-79K</v>
      </c>
      <c r="F620">
        <v>0</v>
      </c>
      <c r="G620" s="1" t="s">
        <v>18</v>
      </c>
      <c r="H620" s="1" t="s">
        <v>13</v>
      </c>
      <c r="I620" s="1" t="s">
        <v>14</v>
      </c>
      <c r="J620">
        <v>2</v>
      </c>
      <c r="K620" s="1" t="s">
        <v>22</v>
      </c>
      <c r="L620" s="1" t="s">
        <v>30</v>
      </c>
      <c r="M620">
        <v>33</v>
      </c>
      <c r="N620" s="1" t="str" cm="1">
        <f t="array" ref="N620">_xlfn.IFS(M620&lt;40, " Adult", M620&lt;60, "Middle Age", M620&gt;=60, "Older Adult")</f>
        <v xml:space="preserve"> Adult</v>
      </c>
      <c r="O620" s="1" t="s">
        <v>14</v>
      </c>
      <c r="P620" s="1">
        <f>IF(O620="Yes", 1)</f>
        <v>1</v>
      </c>
      <c r="Q620" s="1"/>
    </row>
    <row r="621" spans="1:17" x14ac:dyDescent="0.25">
      <c r="A621">
        <v>23041</v>
      </c>
      <c r="B621" s="1" t="s">
        <v>34</v>
      </c>
      <c r="C621" s="1" t="s">
        <v>33</v>
      </c>
      <c r="D621" s="2">
        <v>70000</v>
      </c>
      <c r="E621" s="2" t="str">
        <f>IF(bike_buyers[[#This Row],[Income]]&lt;40000,"Under 40K", IF(bike_buyers[[#This Row],[Income]]&lt;60000,"40K-59K", IF(bike_buyers[[#This Row],[Income]]&lt;80000,"60K-79K", IF(bike_buyers[[#This Row],[Income]]&lt;100000,"80K-99K","100K+"))))</f>
        <v>60K-79K</v>
      </c>
      <c r="F621">
        <v>4</v>
      </c>
      <c r="G621" s="1" t="s">
        <v>26</v>
      </c>
      <c r="H621" s="1" t="s">
        <v>20</v>
      </c>
      <c r="I621" s="1" t="s">
        <v>14</v>
      </c>
      <c r="J621">
        <v>0</v>
      </c>
      <c r="K621" s="1" t="s">
        <v>22</v>
      </c>
      <c r="L621" s="1" t="s">
        <v>30</v>
      </c>
      <c r="M621">
        <v>50</v>
      </c>
      <c r="N621" s="1" t="str" cm="1">
        <f t="array" ref="N621">_xlfn.IFS(M621&lt;40, " Adult", M621&lt;60, "Middle Age", M621&gt;=60, "Older Adult")</f>
        <v>Middle Age</v>
      </c>
      <c r="O621" s="1" t="s">
        <v>14</v>
      </c>
      <c r="P621" s="1">
        <f>IF(O621="Yes", 1)</f>
        <v>1</v>
      </c>
      <c r="Q621" s="1"/>
    </row>
    <row r="622" spans="1:17" x14ac:dyDescent="0.25">
      <c r="A622">
        <v>24433</v>
      </c>
      <c r="B622" s="1" t="s">
        <v>31</v>
      </c>
      <c r="C622" s="1" t="s">
        <v>32</v>
      </c>
      <c r="D622" s="2">
        <v>70000</v>
      </c>
      <c r="E622" s="2" t="str">
        <f>IF(bike_buyers[[#This Row],[Income]]&lt;40000,"Under 40K", IF(bike_buyers[[#This Row],[Income]]&lt;60000,"40K-59K", IF(bike_buyers[[#This Row],[Income]]&lt;80000,"60K-79K", IF(bike_buyers[[#This Row],[Income]]&lt;100000,"80K-99K","100K+"))))</f>
        <v>60K-79K</v>
      </c>
      <c r="F622">
        <v>3</v>
      </c>
      <c r="G622" s="1" t="s">
        <v>26</v>
      </c>
      <c r="H622" s="1" t="s">
        <v>20</v>
      </c>
      <c r="I622" s="1" t="s">
        <v>17</v>
      </c>
      <c r="J622">
        <v>1</v>
      </c>
      <c r="K622" s="1" t="s">
        <v>25</v>
      </c>
      <c r="L622" s="1" t="s">
        <v>30</v>
      </c>
      <c r="M622">
        <v>52</v>
      </c>
      <c r="N622" s="1" t="str" cm="1">
        <f t="array" ref="N622">_xlfn.IFS(M622&lt;40, " Adult", M622&lt;60, "Middle Age", M622&gt;=60, "Older Adult")</f>
        <v>Middle Age</v>
      </c>
      <c r="O622" s="1" t="s">
        <v>14</v>
      </c>
      <c r="P622" s="1">
        <f>IF(O622="Yes", 1)</f>
        <v>1</v>
      </c>
      <c r="Q622" s="1"/>
    </row>
    <row r="623" spans="1:17" x14ac:dyDescent="0.25">
      <c r="A623">
        <v>15501</v>
      </c>
      <c r="B623" s="1" t="s">
        <v>31</v>
      </c>
      <c r="C623" s="1" t="s">
        <v>32</v>
      </c>
      <c r="D623" s="2">
        <v>70000</v>
      </c>
      <c r="E623" s="2" t="str">
        <f>IF(bike_buyers[[#This Row],[Income]]&lt;40000,"Under 40K", IF(bike_buyers[[#This Row],[Income]]&lt;60000,"40K-59K", IF(bike_buyers[[#This Row],[Income]]&lt;80000,"60K-79K", IF(bike_buyers[[#This Row],[Income]]&lt;100000,"80K-99K","100K+"))))</f>
        <v>60K-79K</v>
      </c>
      <c r="F623">
        <v>4</v>
      </c>
      <c r="G623" s="1" t="s">
        <v>29</v>
      </c>
      <c r="H623" s="1" t="s">
        <v>20</v>
      </c>
      <c r="I623" s="1" t="s">
        <v>14</v>
      </c>
      <c r="J623">
        <v>0</v>
      </c>
      <c r="K623" s="1" t="s">
        <v>21</v>
      </c>
      <c r="L623" s="1" t="s">
        <v>30</v>
      </c>
      <c r="M623">
        <v>36</v>
      </c>
      <c r="N623" s="1" t="str" cm="1">
        <f t="array" ref="N623">_xlfn.IFS(M623&lt;40, " Adult", M623&lt;60, "Middle Age", M623&gt;=60, "Older Adult")</f>
        <v xml:space="preserve"> Adult</v>
      </c>
      <c r="O623" s="1" t="s">
        <v>14</v>
      </c>
      <c r="P623" s="1">
        <f>IF(O623="Yes", 1)</f>
        <v>1</v>
      </c>
      <c r="Q623" s="1"/>
    </row>
    <row r="624" spans="1:17" x14ac:dyDescent="0.25">
      <c r="A624">
        <v>18411</v>
      </c>
      <c r="B624" s="1" t="s">
        <v>31</v>
      </c>
      <c r="C624" s="1" t="s">
        <v>32</v>
      </c>
      <c r="D624" s="2">
        <v>60000</v>
      </c>
      <c r="E624" s="2" t="str">
        <f>IF(bike_buyers[[#This Row],[Income]]&lt;40000,"Under 40K", IF(bike_buyers[[#This Row],[Income]]&lt;60000,"40K-59K", IF(bike_buyers[[#This Row],[Income]]&lt;80000,"60K-79K", IF(bike_buyers[[#This Row],[Income]]&lt;100000,"80K-99K","100K+"))))</f>
        <v>60K-79K</v>
      </c>
      <c r="F624">
        <v>2</v>
      </c>
      <c r="G624" s="1" t="s">
        <v>26</v>
      </c>
      <c r="H624" s="1" t="s">
        <v>20</v>
      </c>
      <c r="I624" s="1" t="s">
        <v>17</v>
      </c>
      <c r="J624">
        <v>2</v>
      </c>
      <c r="K624" s="1" t="s">
        <v>22</v>
      </c>
      <c r="L624" s="1" t="s">
        <v>30</v>
      </c>
      <c r="M624">
        <v>51</v>
      </c>
      <c r="N624" s="1" t="str" cm="1">
        <f t="array" ref="N624">_xlfn.IFS(M624&lt;40, " Adult", M624&lt;60, "Middle Age", M624&gt;=60, "Older Adult")</f>
        <v>Middle Age</v>
      </c>
      <c r="O624" s="1" t="s">
        <v>17</v>
      </c>
      <c r="P624" s="1" t="b">
        <f>IF(O624="Yes", 1)</f>
        <v>0</v>
      </c>
      <c r="Q624" s="1"/>
    </row>
    <row r="625" spans="1:17" x14ac:dyDescent="0.25">
      <c r="A625">
        <v>19163</v>
      </c>
      <c r="B625" s="1" t="s">
        <v>31</v>
      </c>
      <c r="C625" s="1" t="s">
        <v>33</v>
      </c>
      <c r="D625" s="2">
        <v>70000</v>
      </c>
      <c r="E625" s="2" t="str">
        <f>IF(bike_buyers[[#This Row],[Income]]&lt;40000,"Under 40K", IF(bike_buyers[[#This Row],[Income]]&lt;60000,"40K-59K", IF(bike_buyers[[#This Row],[Income]]&lt;80000,"60K-79K", IF(bike_buyers[[#This Row],[Income]]&lt;100000,"80K-99K","100K+"))))</f>
        <v>60K-79K</v>
      </c>
      <c r="F625">
        <v>4</v>
      </c>
      <c r="G625" s="1" t="s">
        <v>12</v>
      </c>
      <c r="H625" s="1" t="s">
        <v>20</v>
      </c>
      <c r="I625" s="1" t="s">
        <v>14</v>
      </c>
      <c r="J625">
        <v>2</v>
      </c>
      <c r="K625" s="1" t="s">
        <v>15</v>
      </c>
      <c r="L625" s="1" t="s">
        <v>30</v>
      </c>
      <c r="M625">
        <v>43</v>
      </c>
      <c r="N625" s="1" t="str" cm="1">
        <f t="array" ref="N625">_xlfn.IFS(M625&lt;40, " Adult", M625&lt;60, "Middle Age", M625&gt;=60, "Older Adult")</f>
        <v>Middle Age</v>
      </c>
      <c r="O625" s="1" t="s">
        <v>14</v>
      </c>
      <c r="P625" s="1">
        <f>IF(O625="Yes", 1)</f>
        <v>1</v>
      </c>
      <c r="Q625" s="1"/>
    </row>
    <row r="626" spans="1:17" x14ac:dyDescent="0.25">
      <c r="A626">
        <v>18572</v>
      </c>
      <c r="B626" s="1" t="s">
        <v>31</v>
      </c>
      <c r="C626" s="1" t="s">
        <v>33</v>
      </c>
      <c r="D626" s="2">
        <v>60000</v>
      </c>
      <c r="E626" s="2" t="str">
        <f>IF(bike_buyers[[#This Row],[Income]]&lt;40000,"Under 40K", IF(bike_buyers[[#This Row],[Income]]&lt;60000,"40K-59K", IF(bike_buyers[[#This Row],[Income]]&lt;80000,"60K-79K", IF(bike_buyers[[#This Row],[Income]]&lt;100000,"80K-99K","100K+"))))</f>
        <v>60K-79K</v>
      </c>
      <c r="F626">
        <v>0</v>
      </c>
      <c r="G626" s="1" t="s">
        <v>29</v>
      </c>
      <c r="H626" s="1" t="s">
        <v>20</v>
      </c>
      <c r="I626" s="1" t="s">
        <v>14</v>
      </c>
      <c r="J626">
        <v>0</v>
      </c>
      <c r="K626" s="1" t="s">
        <v>15</v>
      </c>
      <c r="L626" s="1" t="s">
        <v>30</v>
      </c>
      <c r="M626">
        <v>39</v>
      </c>
      <c r="N626" s="1" t="str" cm="1">
        <f t="array" ref="N626">_xlfn.IFS(M626&lt;40, " Adult", M626&lt;60, "Middle Age", M626&gt;=60, "Older Adult")</f>
        <v xml:space="preserve"> Adult</v>
      </c>
      <c r="O626" s="1" t="s">
        <v>17</v>
      </c>
      <c r="P626" s="1" t="b">
        <f>IF(O626="Yes", 1)</f>
        <v>0</v>
      </c>
      <c r="Q626" s="1"/>
    </row>
    <row r="627" spans="1:17" x14ac:dyDescent="0.25">
      <c r="A627">
        <v>27540</v>
      </c>
      <c r="B627" s="1" t="s">
        <v>34</v>
      </c>
      <c r="C627" s="1" t="s">
        <v>33</v>
      </c>
      <c r="D627" s="2">
        <v>70000</v>
      </c>
      <c r="E627" s="2" t="str">
        <f>IF(bike_buyers[[#This Row],[Income]]&lt;40000,"Under 40K", IF(bike_buyers[[#This Row],[Income]]&lt;60000,"40K-59K", IF(bike_buyers[[#This Row],[Income]]&lt;80000,"60K-79K", IF(bike_buyers[[#This Row],[Income]]&lt;100000,"80K-99K","100K+"))))</f>
        <v>60K-79K</v>
      </c>
      <c r="F627">
        <v>0</v>
      </c>
      <c r="G627" s="1" t="s">
        <v>12</v>
      </c>
      <c r="H627" s="1" t="s">
        <v>20</v>
      </c>
      <c r="I627" s="1" t="s">
        <v>17</v>
      </c>
      <c r="J627">
        <v>1</v>
      </c>
      <c r="K627" s="1" t="s">
        <v>15</v>
      </c>
      <c r="L627" s="1" t="s">
        <v>30</v>
      </c>
      <c r="M627">
        <v>37</v>
      </c>
      <c r="N627" s="1" t="str" cm="1">
        <f t="array" ref="N627">_xlfn.IFS(M627&lt;40, " Adult", M627&lt;60, "Middle Age", M627&gt;=60, "Older Adult")</f>
        <v xml:space="preserve"> Adult</v>
      </c>
      <c r="O627" s="1" t="s">
        <v>14</v>
      </c>
      <c r="P627" s="1">
        <f>IF(O627="Yes", 1)</f>
        <v>1</v>
      </c>
      <c r="Q627" s="1"/>
    </row>
    <row r="628" spans="1:17" x14ac:dyDescent="0.25">
      <c r="A628">
        <v>19889</v>
      </c>
      <c r="B628" s="1" t="s">
        <v>34</v>
      </c>
      <c r="C628" s="1" t="s">
        <v>33</v>
      </c>
      <c r="D628" s="2">
        <v>70000</v>
      </c>
      <c r="E628" s="2" t="str">
        <f>IF(bike_buyers[[#This Row],[Income]]&lt;40000,"Under 40K", IF(bike_buyers[[#This Row],[Income]]&lt;60000,"40K-59K", IF(bike_buyers[[#This Row],[Income]]&lt;80000,"60K-79K", IF(bike_buyers[[#This Row],[Income]]&lt;100000,"80K-99K","100K+"))))</f>
        <v>60K-79K</v>
      </c>
      <c r="F628">
        <v>2</v>
      </c>
      <c r="G628" s="1" t="s">
        <v>28</v>
      </c>
      <c r="H628" s="1" t="s">
        <v>13</v>
      </c>
      <c r="I628" s="1" t="s">
        <v>17</v>
      </c>
      <c r="J628">
        <v>2</v>
      </c>
      <c r="K628" s="1" t="s">
        <v>21</v>
      </c>
      <c r="L628" s="1" t="s">
        <v>30</v>
      </c>
      <c r="M628">
        <v>54</v>
      </c>
      <c r="N628" s="1" t="str" cm="1">
        <f t="array" ref="N628">_xlfn.IFS(M628&lt;40, " Adult", M628&lt;60, "Middle Age", M628&gt;=60, "Older Adult")</f>
        <v>Middle Age</v>
      </c>
      <c r="O628" s="1" t="s">
        <v>14</v>
      </c>
      <c r="P628" s="1">
        <f>IF(O628="Yes", 1)</f>
        <v>1</v>
      </c>
      <c r="Q628" s="1"/>
    </row>
    <row r="629" spans="1:17" x14ac:dyDescent="0.25">
      <c r="A629">
        <v>12922</v>
      </c>
      <c r="B629" s="1" t="s">
        <v>34</v>
      </c>
      <c r="C629" s="1" t="s">
        <v>33</v>
      </c>
      <c r="D629" s="2">
        <v>60000</v>
      </c>
      <c r="E629" s="2" t="str">
        <f>IF(bike_buyers[[#This Row],[Income]]&lt;40000,"Under 40K", IF(bike_buyers[[#This Row],[Income]]&lt;60000,"40K-59K", IF(bike_buyers[[#This Row],[Income]]&lt;80000,"60K-79K", IF(bike_buyers[[#This Row],[Income]]&lt;100000,"80K-99K","100K+"))))</f>
        <v>60K-79K</v>
      </c>
      <c r="F629">
        <v>3</v>
      </c>
      <c r="G629" s="1" t="s">
        <v>12</v>
      </c>
      <c r="H629" s="1" t="s">
        <v>13</v>
      </c>
      <c r="I629" s="1" t="s">
        <v>14</v>
      </c>
      <c r="J629">
        <v>0</v>
      </c>
      <c r="K629" s="1" t="s">
        <v>21</v>
      </c>
      <c r="L629" s="1" t="s">
        <v>30</v>
      </c>
      <c r="M629">
        <v>40</v>
      </c>
      <c r="N629" s="1" t="str" cm="1">
        <f t="array" ref="N629">_xlfn.IFS(M629&lt;40, " Adult", M629&lt;60, "Middle Age", M629&gt;=60, "Older Adult")</f>
        <v>Middle Age</v>
      </c>
      <c r="O629" s="1" t="s">
        <v>14</v>
      </c>
      <c r="P629" s="1">
        <f>IF(O629="Yes", 1)</f>
        <v>1</v>
      </c>
      <c r="Q629" s="1"/>
    </row>
    <row r="630" spans="1:17" x14ac:dyDescent="0.25">
      <c r="A630">
        <v>16773</v>
      </c>
      <c r="B630" s="1" t="s">
        <v>31</v>
      </c>
      <c r="C630" s="1" t="s">
        <v>32</v>
      </c>
      <c r="D630" s="2">
        <v>60000</v>
      </c>
      <c r="E630" s="2" t="str">
        <f>IF(bike_buyers[[#This Row],[Income]]&lt;40000,"Under 40K", IF(bike_buyers[[#This Row],[Income]]&lt;60000,"40K-59K", IF(bike_buyers[[#This Row],[Income]]&lt;80000,"60K-79K", IF(bike_buyers[[#This Row],[Income]]&lt;100000,"80K-99K","100K+"))))</f>
        <v>60K-79K</v>
      </c>
      <c r="F630">
        <v>1</v>
      </c>
      <c r="G630" s="1" t="s">
        <v>29</v>
      </c>
      <c r="H630" s="1" t="s">
        <v>13</v>
      </c>
      <c r="I630" s="1" t="s">
        <v>14</v>
      </c>
      <c r="J630">
        <v>0</v>
      </c>
      <c r="K630" s="1" t="s">
        <v>15</v>
      </c>
      <c r="L630" s="1" t="s">
        <v>30</v>
      </c>
      <c r="M630">
        <v>33</v>
      </c>
      <c r="N630" s="1" t="str" cm="1">
        <f t="array" ref="N630">_xlfn.IFS(M630&lt;40, " Adult", M630&lt;60, "Middle Age", M630&gt;=60, "Older Adult")</f>
        <v xml:space="preserve"> Adult</v>
      </c>
      <c r="O630" s="1" t="s">
        <v>17</v>
      </c>
      <c r="P630" s="1" t="b">
        <f>IF(O630="Yes", 1)</f>
        <v>0</v>
      </c>
      <c r="Q630" s="1"/>
    </row>
    <row r="631" spans="1:17" x14ac:dyDescent="0.25">
      <c r="A631">
        <v>11233</v>
      </c>
      <c r="B631" s="1" t="s">
        <v>31</v>
      </c>
      <c r="C631" s="1" t="s">
        <v>32</v>
      </c>
      <c r="D631" s="2">
        <v>70000</v>
      </c>
      <c r="E631" s="2" t="str">
        <f>IF(bike_buyers[[#This Row],[Income]]&lt;40000,"Under 40K", IF(bike_buyers[[#This Row],[Income]]&lt;60000,"40K-59K", IF(bike_buyers[[#This Row],[Income]]&lt;80000,"60K-79K", IF(bike_buyers[[#This Row],[Income]]&lt;100000,"80K-99K","100K+"))))</f>
        <v>60K-79K</v>
      </c>
      <c r="F631">
        <v>4</v>
      </c>
      <c r="G631" s="1" t="s">
        <v>18</v>
      </c>
      <c r="H631" s="1" t="s">
        <v>20</v>
      </c>
      <c r="I631" s="1" t="s">
        <v>14</v>
      </c>
      <c r="J631">
        <v>2</v>
      </c>
      <c r="K631" s="1" t="s">
        <v>62</v>
      </c>
      <c r="L631" s="1" t="s">
        <v>30</v>
      </c>
      <c r="M631">
        <v>53</v>
      </c>
      <c r="N631" s="1" t="str" cm="1">
        <f t="array" ref="N631">_xlfn.IFS(M631&lt;40, " Adult", M631&lt;60, "Middle Age", M631&gt;=60, "Older Adult")</f>
        <v>Middle Age</v>
      </c>
      <c r="O631" s="1" t="s">
        <v>17</v>
      </c>
      <c r="P631" s="1" t="b">
        <f>IF(O631="Yes", 1)</f>
        <v>0</v>
      </c>
      <c r="Q631" s="1"/>
    </row>
    <row r="632" spans="1:17" x14ac:dyDescent="0.25">
      <c r="A632">
        <v>15555</v>
      </c>
      <c r="B632" s="1" t="s">
        <v>31</v>
      </c>
      <c r="C632" s="1" t="s">
        <v>33</v>
      </c>
      <c r="D632" s="2">
        <v>60000</v>
      </c>
      <c r="E632" s="2" t="str">
        <f>IF(bike_buyers[[#This Row],[Income]]&lt;40000,"Under 40K", IF(bike_buyers[[#This Row],[Income]]&lt;60000,"40K-59K", IF(bike_buyers[[#This Row],[Income]]&lt;80000,"60K-79K", IF(bike_buyers[[#This Row],[Income]]&lt;100000,"80K-99K","100K+"))))</f>
        <v>60K-79K</v>
      </c>
      <c r="F632">
        <v>1</v>
      </c>
      <c r="G632" s="1" t="s">
        <v>18</v>
      </c>
      <c r="H632" s="1" t="s">
        <v>13</v>
      </c>
      <c r="I632" s="1" t="s">
        <v>14</v>
      </c>
      <c r="J632">
        <v>1</v>
      </c>
      <c r="K632" s="1" t="s">
        <v>21</v>
      </c>
      <c r="L632" s="1" t="s">
        <v>30</v>
      </c>
      <c r="M632">
        <v>45</v>
      </c>
      <c r="N632" s="1" t="str" cm="1">
        <f t="array" ref="N632">_xlfn.IFS(M632&lt;40, " Adult", M632&lt;60, "Middle Age", M632&gt;=60, "Older Adult")</f>
        <v>Middle Age</v>
      </c>
      <c r="O632" s="1" t="s">
        <v>14</v>
      </c>
      <c r="P632" s="1">
        <f>IF(O632="Yes", 1)</f>
        <v>1</v>
      </c>
      <c r="Q632" s="1"/>
    </row>
    <row r="633" spans="1:17" x14ac:dyDescent="0.25">
      <c r="A633">
        <v>13390</v>
      </c>
      <c r="B633" s="1" t="s">
        <v>31</v>
      </c>
      <c r="C633" s="1" t="s">
        <v>33</v>
      </c>
      <c r="D633" s="2">
        <v>70000</v>
      </c>
      <c r="E633" s="2" t="str">
        <f>IF(bike_buyers[[#This Row],[Income]]&lt;40000,"Under 40K", IF(bike_buyers[[#This Row],[Income]]&lt;60000,"40K-59K", IF(bike_buyers[[#This Row],[Income]]&lt;80000,"60K-79K", IF(bike_buyers[[#This Row],[Income]]&lt;100000,"80K-99K","100K+"))))</f>
        <v>60K-79K</v>
      </c>
      <c r="F633">
        <v>4</v>
      </c>
      <c r="G633" s="1" t="s">
        <v>18</v>
      </c>
      <c r="H633" s="1" t="s">
        <v>20</v>
      </c>
      <c r="I633" s="1" t="s">
        <v>17</v>
      </c>
      <c r="J633">
        <v>1</v>
      </c>
      <c r="K633" s="1" t="s">
        <v>25</v>
      </c>
      <c r="L633" s="1" t="s">
        <v>30</v>
      </c>
      <c r="M633">
        <v>56</v>
      </c>
      <c r="N633" s="1" t="str" cm="1">
        <f t="array" ref="N633">_xlfn.IFS(M633&lt;40, " Adult", M633&lt;60, "Middle Age", M633&gt;=60, "Older Adult")</f>
        <v>Middle Age</v>
      </c>
      <c r="O633" s="1" t="s">
        <v>17</v>
      </c>
      <c r="P633" s="1" t="b">
        <f>IF(O633="Yes", 1)</f>
        <v>0</v>
      </c>
      <c r="Q633" s="1"/>
    </row>
    <row r="634" spans="1:17" x14ac:dyDescent="0.25">
      <c r="A634">
        <v>16751</v>
      </c>
      <c r="B634" s="1" t="s">
        <v>31</v>
      </c>
      <c r="C634" s="1" t="s">
        <v>32</v>
      </c>
      <c r="D634" s="2">
        <v>60000</v>
      </c>
      <c r="E634" s="2" t="str">
        <f>IF(bike_buyers[[#This Row],[Income]]&lt;40000,"Under 40K", IF(bike_buyers[[#This Row],[Income]]&lt;60000,"40K-59K", IF(bike_buyers[[#This Row],[Income]]&lt;80000,"60K-79K", IF(bike_buyers[[#This Row],[Income]]&lt;100000,"80K-99K","100K+"))))</f>
        <v>60K-79K</v>
      </c>
      <c r="F634">
        <v>0</v>
      </c>
      <c r="G634" s="1" t="s">
        <v>18</v>
      </c>
      <c r="H634" s="1" t="s">
        <v>13</v>
      </c>
      <c r="I634" s="1" t="s">
        <v>14</v>
      </c>
      <c r="J634">
        <v>1</v>
      </c>
      <c r="K634" s="1" t="s">
        <v>22</v>
      </c>
      <c r="L634" s="1" t="s">
        <v>30</v>
      </c>
      <c r="M634">
        <v>32</v>
      </c>
      <c r="N634" s="1" t="str" cm="1">
        <f t="array" ref="N634">_xlfn.IFS(M634&lt;40, " Adult", M634&lt;60, "Middle Age", M634&gt;=60, "Older Adult")</f>
        <v xml:space="preserve"> Adult</v>
      </c>
      <c r="O634" s="1" t="s">
        <v>14</v>
      </c>
      <c r="P634" s="1">
        <f>IF(O634="Yes", 1)</f>
        <v>1</v>
      </c>
      <c r="Q634" s="1"/>
    </row>
    <row r="635" spans="1:17" x14ac:dyDescent="0.25">
      <c r="A635">
        <v>24801</v>
      </c>
      <c r="B635" s="1" t="s">
        <v>34</v>
      </c>
      <c r="C635" s="1" t="s">
        <v>32</v>
      </c>
      <c r="D635" s="2">
        <v>60000</v>
      </c>
      <c r="E635" s="2" t="str">
        <f>IF(bike_buyers[[#This Row],[Income]]&lt;40000,"Under 40K", IF(bike_buyers[[#This Row],[Income]]&lt;60000,"40K-59K", IF(bike_buyers[[#This Row],[Income]]&lt;80000,"60K-79K", IF(bike_buyers[[#This Row],[Income]]&lt;100000,"80K-99K","100K+"))))</f>
        <v>60K-79K</v>
      </c>
      <c r="F635">
        <v>1</v>
      </c>
      <c r="G635" s="1" t="s">
        <v>29</v>
      </c>
      <c r="H635" s="1" t="s">
        <v>20</v>
      </c>
      <c r="I635" s="1" t="s">
        <v>14</v>
      </c>
      <c r="J635">
        <v>0</v>
      </c>
      <c r="K635" s="1" t="s">
        <v>21</v>
      </c>
      <c r="L635" s="1" t="s">
        <v>30</v>
      </c>
      <c r="M635">
        <v>35</v>
      </c>
      <c r="N635" s="1" t="str" cm="1">
        <f t="array" ref="N635">_xlfn.IFS(M635&lt;40, " Adult", M635&lt;60, "Middle Age", M635&gt;=60, "Older Adult")</f>
        <v xml:space="preserve"> Adult</v>
      </c>
      <c r="O635" s="1" t="s">
        <v>14</v>
      </c>
      <c r="P635" s="1">
        <f>IF(O635="Yes", 1)</f>
        <v>1</v>
      </c>
      <c r="Q635" s="1"/>
    </row>
    <row r="636" spans="1:17" x14ac:dyDescent="0.25">
      <c r="A636">
        <v>17519</v>
      </c>
      <c r="B636" s="1" t="s">
        <v>31</v>
      </c>
      <c r="C636" s="1" t="s">
        <v>33</v>
      </c>
      <c r="D636" s="2">
        <v>60000</v>
      </c>
      <c r="E636" s="2" t="str">
        <f>IF(bike_buyers[[#This Row],[Income]]&lt;40000,"Under 40K", IF(bike_buyers[[#This Row],[Income]]&lt;60000,"40K-59K", IF(bike_buyers[[#This Row],[Income]]&lt;80000,"60K-79K", IF(bike_buyers[[#This Row],[Income]]&lt;100000,"80K-99K","100K+"))))</f>
        <v>60K-79K</v>
      </c>
      <c r="F636">
        <v>0</v>
      </c>
      <c r="G636" s="1" t="s">
        <v>18</v>
      </c>
      <c r="H636" s="1" t="s">
        <v>20</v>
      </c>
      <c r="I636" s="1" t="s">
        <v>14</v>
      </c>
      <c r="J636">
        <v>2</v>
      </c>
      <c r="K636" s="1" t="s">
        <v>22</v>
      </c>
      <c r="L636" s="1" t="s">
        <v>30</v>
      </c>
      <c r="M636">
        <v>32</v>
      </c>
      <c r="N636" s="1" t="str" cm="1">
        <f t="array" ref="N636">_xlfn.IFS(M636&lt;40, " Adult", M636&lt;60, "Middle Age", M636&gt;=60, "Older Adult")</f>
        <v xml:space="preserve"> Adult</v>
      </c>
      <c r="O636" s="1" t="s">
        <v>17</v>
      </c>
      <c r="P636" s="1" t="b">
        <f>IF(O636="Yes", 1)</f>
        <v>0</v>
      </c>
      <c r="Q636" s="1"/>
    </row>
    <row r="637" spans="1:17" x14ac:dyDescent="0.25">
      <c r="A637">
        <v>11745</v>
      </c>
      <c r="B637" s="1" t="s">
        <v>31</v>
      </c>
      <c r="C637" s="1" t="s">
        <v>33</v>
      </c>
      <c r="D637" s="2">
        <v>60000</v>
      </c>
      <c r="E637" s="2" t="str">
        <f>IF(bike_buyers[[#This Row],[Income]]&lt;40000,"Under 40K", IF(bike_buyers[[#This Row],[Income]]&lt;60000,"40K-59K", IF(bike_buyers[[#This Row],[Income]]&lt;80000,"60K-79K", IF(bike_buyers[[#This Row],[Income]]&lt;100000,"80K-99K","100K+"))))</f>
        <v>60K-79K</v>
      </c>
      <c r="F637">
        <v>1</v>
      </c>
      <c r="G637" s="1" t="s">
        <v>12</v>
      </c>
      <c r="H637" s="1" t="s">
        <v>20</v>
      </c>
      <c r="I637" s="1" t="s">
        <v>14</v>
      </c>
      <c r="J637">
        <v>1</v>
      </c>
      <c r="K637" s="1" t="s">
        <v>15</v>
      </c>
      <c r="L637" s="1" t="s">
        <v>30</v>
      </c>
      <c r="M637">
        <v>47</v>
      </c>
      <c r="N637" s="1" t="str" cm="1">
        <f t="array" ref="N637">_xlfn.IFS(M637&lt;40, " Adult", M637&lt;60, "Middle Age", M637&gt;=60, "Older Adult")</f>
        <v>Middle Age</v>
      </c>
      <c r="O637" s="1" t="s">
        <v>14</v>
      </c>
      <c r="P637" s="1">
        <f>IF(O637="Yes", 1)</f>
        <v>1</v>
      </c>
      <c r="Q637" s="1"/>
    </row>
    <row r="638" spans="1:17" x14ac:dyDescent="0.25">
      <c r="A638">
        <v>28052</v>
      </c>
      <c r="B638" s="1" t="s">
        <v>31</v>
      </c>
      <c r="C638" s="1" t="s">
        <v>32</v>
      </c>
      <c r="D638" s="2">
        <v>60000</v>
      </c>
      <c r="E638" s="2" t="str">
        <f>IF(bike_buyers[[#This Row],[Income]]&lt;40000,"Under 40K", IF(bike_buyers[[#This Row],[Income]]&lt;60000,"40K-59K", IF(bike_buyers[[#This Row],[Income]]&lt;80000,"60K-79K", IF(bike_buyers[[#This Row],[Income]]&lt;100000,"80K-99K","100K+"))))</f>
        <v>60K-79K</v>
      </c>
      <c r="F638">
        <v>2</v>
      </c>
      <c r="G638" s="1" t="s">
        <v>26</v>
      </c>
      <c r="H638" s="1" t="s">
        <v>20</v>
      </c>
      <c r="I638" s="1" t="s">
        <v>14</v>
      </c>
      <c r="J638">
        <v>2</v>
      </c>
      <c r="K638" s="1" t="s">
        <v>62</v>
      </c>
      <c r="L638" s="1" t="s">
        <v>30</v>
      </c>
      <c r="M638">
        <v>55</v>
      </c>
      <c r="N638" s="1" t="str" cm="1">
        <f t="array" ref="N638">_xlfn.IFS(M638&lt;40, " Adult", M638&lt;60, "Middle Age", M638&gt;=60, "Older Adult")</f>
        <v>Middle Age</v>
      </c>
      <c r="O638" s="1" t="s">
        <v>17</v>
      </c>
      <c r="P638" s="1" t="b">
        <f>IF(O638="Yes", 1)</f>
        <v>0</v>
      </c>
      <c r="Q638" s="1"/>
    </row>
    <row r="639" spans="1:17" x14ac:dyDescent="0.25">
      <c r="A639">
        <v>26693</v>
      </c>
      <c r="B639" s="1" t="s">
        <v>31</v>
      </c>
      <c r="C639" s="1" t="s">
        <v>32</v>
      </c>
      <c r="D639" s="2">
        <v>70000</v>
      </c>
      <c r="E639" s="2" t="str">
        <f>IF(bike_buyers[[#This Row],[Income]]&lt;40000,"Under 40K", IF(bike_buyers[[#This Row],[Income]]&lt;60000,"40K-59K", IF(bike_buyers[[#This Row],[Income]]&lt;80000,"60K-79K", IF(bike_buyers[[#This Row],[Income]]&lt;100000,"80K-99K","100K+"))))</f>
        <v>60K-79K</v>
      </c>
      <c r="F639">
        <v>3</v>
      </c>
      <c r="G639" s="1" t="s">
        <v>18</v>
      </c>
      <c r="H639" s="1" t="s">
        <v>20</v>
      </c>
      <c r="I639" s="1" t="s">
        <v>14</v>
      </c>
      <c r="J639">
        <v>1</v>
      </c>
      <c r="K639" s="1" t="s">
        <v>22</v>
      </c>
      <c r="L639" s="1" t="s">
        <v>30</v>
      </c>
      <c r="M639">
        <v>49</v>
      </c>
      <c r="N639" s="1" t="str" cm="1">
        <f t="array" ref="N639">_xlfn.IFS(M639&lt;40, " Adult", M639&lt;60, "Middle Age", M639&gt;=60, "Older Adult")</f>
        <v>Middle Age</v>
      </c>
      <c r="O639" s="1" t="s">
        <v>17</v>
      </c>
      <c r="P639" s="1" t="b">
        <f>IF(O639="Yes", 1)</f>
        <v>0</v>
      </c>
      <c r="Q639" s="1"/>
    </row>
    <row r="640" spans="1:17" x14ac:dyDescent="0.25">
      <c r="A640">
        <v>13942</v>
      </c>
      <c r="B640" s="1" t="s">
        <v>31</v>
      </c>
      <c r="C640" s="1" t="s">
        <v>32</v>
      </c>
      <c r="D640" s="2">
        <v>60000</v>
      </c>
      <c r="E640" s="2" t="str">
        <f>IF(bike_buyers[[#This Row],[Income]]&lt;40000,"Under 40K", IF(bike_buyers[[#This Row],[Income]]&lt;60000,"40K-59K", IF(bike_buyers[[#This Row],[Income]]&lt;80000,"60K-79K", IF(bike_buyers[[#This Row],[Income]]&lt;100000,"80K-99K","100K+"))))</f>
        <v>60K-79K</v>
      </c>
      <c r="F640">
        <v>1</v>
      </c>
      <c r="G640" s="1" t="s">
        <v>18</v>
      </c>
      <c r="H640" s="1" t="s">
        <v>13</v>
      </c>
      <c r="I640" s="1" t="s">
        <v>14</v>
      </c>
      <c r="J640">
        <v>1</v>
      </c>
      <c r="K640" s="1" t="s">
        <v>15</v>
      </c>
      <c r="L640" s="1" t="s">
        <v>30</v>
      </c>
      <c r="M640">
        <v>46</v>
      </c>
      <c r="N640" s="1" t="str" cm="1">
        <f t="array" ref="N640">_xlfn.IFS(M640&lt;40, " Adult", M640&lt;60, "Middle Age", M640&gt;=60, "Older Adult")</f>
        <v>Middle Age</v>
      </c>
      <c r="O640" s="1" t="s">
        <v>17</v>
      </c>
      <c r="P640" s="1" t="b">
        <f>IF(O640="Yes", 1)</f>
        <v>0</v>
      </c>
      <c r="Q640" s="1"/>
    </row>
    <row r="641" spans="1:17" x14ac:dyDescent="0.25">
      <c r="A641">
        <v>11219</v>
      </c>
      <c r="B641" s="1" t="s">
        <v>31</v>
      </c>
      <c r="C641" s="1" t="s">
        <v>32</v>
      </c>
      <c r="D641" s="2">
        <v>60000</v>
      </c>
      <c r="E641" s="2" t="str">
        <f>IF(bike_buyers[[#This Row],[Income]]&lt;40000,"Under 40K", IF(bike_buyers[[#This Row],[Income]]&lt;60000,"40K-59K", IF(bike_buyers[[#This Row],[Income]]&lt;80000,"60K-79K", IF(bike_buyers[[#This Row],[Income]]&lt;100000,"80K-99K","100K+"))))</f>
        <v>60K-79K</v>
      </c>
      <c r="F641">
        <v>2</v>
      </c>
      <c r="G641" s="1" t="s">
        <v>26</v>
      </c>
      <c r="H641" s="1" t="s">
        <v>20</v>
      </c>
      <c r="I641" s="1" t="s">
        <v>14</v>
      </c>
      <c r="J641">
        <v>2</v>
      </c>
      <c r="K641" s="1" t="s">
        <v>62</v>
      </c>
      <c r="L641" s="1" t="s">
        <v>30</v>
      </c>
      <c r="M641">
        <v>55</v>
      </c>
      <c r="N641" s="1" t="str" cm="1">
        <f t="array" ref="N641">_xlfn.IFS(M641&lt;40, " Adult", M641&lt;60, "Middle Age", M641&gt;=60, "Older Adult")</f>
        <v>Middle Age</v>
      </c>
      <c r="O641" s="1" t="s">
        <v>17</v>
      </c>
      <c r="P641" s="1" t="b">
        <f>IF(O641="Yes", 1)</f>
        <v>0</v>
      </c>
      <c r="Q641" s="1"/>
    </row>
    <row r="642" spans="1:17" x14ac:dyDescent="0.25">
      <c r="A642">
        <v>22118</v>
      </c>
      <c r="B642" s="1" t="s">
        <v>34</v>
      </c>
      <c r="C642" s="1" t="s">
        <v>33</v>
      </c>
      <c r="D642" s="2">
        <v>70000</v>
      </c>
      <c r="E642" s="2" t="str">
        <f>IF(bike_buyers[[#This Row],[Income]]&lt;40000,"Under 40K", IF(bike_buyers[[#This Row],[Income]]&lt;60000,"40K-59K", IF(bike_buyers[[#This Row],[Income]]&lt;80000,"60K-79K", IF(bike_buyers[[#This Row],[Income]]&lt;100000,"80K-99K","100K+"))))</f>
        <v>60K-79K</v>
      </c>
      <c r="F642">
        <v>3</v>
      </c>
      <c r="G642" s="1" t="s">
        <v>29</v>
      </c>
      <c r="H642" s="1" t="s">
        <v>27</v>
      </c>
      <c r="I642" s="1" t="s">
        <v>14</v>
      </c>
      <c r="J642">
        <v>2</v>
      </c>
      <c r="K642" s="1" t="s">
        <v>22</v>
      </c>
      <c r="L642" s="1" t="s">
        <v>30</v>
      </c>
      <c r="M642">
        <v>53</v>
      </c>
      <c r="N642" s="1" t="str" cm="1">
        <f t="array" ref="N642">_xlfn.IFS(M642&lt;40, " Adult", M642&lt;60, "Middle Age", M642&gt;=60, "Older Adult")</f>
        <v>Middle Age</v>
      </c>
      <c r="O642" s="1" t="s">
        <v>14</v>
      </c>
      <c r="P642" s="1">
        <f>IF(O642="Yes", 1)</f>
        <v>1</v>
      </c>
      <c r="Q642" s="1"/>
    </row>
    <row r="643" spans="1:17" x14ac:dyDescent="0.25">
      <c r="A643">
        <v>27279</v>
      </c>
      <c r="B643" s="1" t="s">
        <v>34</v>
      </c>
      <c r="C643" s="1" t="s">
        <v>33</v>
      </c>
      <c r="D643" s="2">
        <v>70000</v>
      </c>
      <c r="E643" s="2" t="str">
        <f>IF(bike_buyers[[#This Row],[Income]]&lt;40000,"Under 40K", IF(bike_buyers[[#This Row],[Income]]&lt;60000,"40K-59K", IF(bike_buyers[[#This Row],[Income]]&lt;80000,"60K-79K", IF(bike_buyers[[#This Row],[Income]]&lt;100000,"80K-99K","100K+"))))</f>
        <v>60K-79K</v>
      </c>
      <c r="F643">
        <v>2</v>
      </c>
      <c r="G643" s="1" t="s">
        <v>12</v>
      </c>
      <c r="H643" s="1" t="s">
        <v>13</v>
      </c>
      <c r="I643" s="1" t="s">
        <v>14</v>
      </c>
      <c r="J643">
        <v>0</v>
      </c>
      <c r="K643" s="1" t="s">
        <v>21</v>
      </c>
      <c r="L643" s="1" t="s">
        <v>30</v>
      </c>
      <c r="M643">
        <v>38</v>
      </c>
      <c r="N643" s="1" t="str" cm="1">
        <f t="array" ref="N643">_xlfn.IFS(M643&lt;40, " Adult", M643&lt;60, "Middle Age", M643&gt;=60, "Older Adult")</f>
        <v xml:space="preserve"> Adult</v>
      </c>
      <c r="O643" s="1" t="s">
        <v>14</v>
      </c>
      <c r="P643" s="1">
        <f>IF(O643="Yes", 1)</f>
        <v>1</v>
      </c>
      <c r="Q643" s="1"/>
    </row>
    <row r="644" spans="1:17" x14ac:dyDescent="0.25">
      <c r="A644">
        <v>15879</v>
      </c>
      <c r="B644" s="1" t="s">
        <v>31</v>
      </c>
      <c r="C644" s="1" t="s">
        <v>32</v>
      </c>
      <c r="D644" s="2">
        <v>70000</v>
      </c>
      <c r="E644" s="2" t="str">
        <f>IF(bike_buyers[[#This Row],[Income]]&lt;40000,"Under 40K", IF(bike_buyers[[#This Row],[Income]]&lt;60000,"40K-59K", IF(bike_buyers[[#This Row],[Income]]&lt;80000,"60K-79K", IF(bike_buyers[[#This Row],[Income]]&lt;100000,"80K-99K","100K+"))))</f>
        <v>60K-79K</v>
      </c>
      <c r="F644">
        <v>5</v>
      </c>
      <c r="G644" s="1" t="s">
        <v>12</v>
      </c>
      <c r="H644" s="1" t="s">
        <v>27</v>
      </c>
      <c r="I644" s="1" t="s">
        <v>14</v>
      </c>
      <c r="J644">
        <v>2</v>
      </c>
      <c r="K644" s="1" t="s">
        <v>21</v>
      </c>
      <c r="L644" s="1" t="s">
        <v>30</v>
      </c>
      <c r="M644">
        <v>61</v>
      </c>
      <c r="N644" s="1" t="str" cm="1">
        <f t="array" ref="N644">_xlfn.IFS(M644&lt;40, " Adult", M644&lt;60, "Middle Age", M644&gt;=60, "Older Adult")</f>
        <v>Older Adult</v>
      </c>
      <c r="O644" s="1" t="s">
        <v>17</v>
      </c>
      <c r="P644" s="1" t="b">
        <f>IF(O644="Yes", 1)</f>
        <v>0</v>
      </c>
      <c r="Q644" s="1"/>
    </row>
    <row r="645" spans="1:17" x14ac:dyDescent="0.25">
      <c r="A645">
        <v>16151</v>
      </c>
      <c r="B645" s="1" t="s">
        <v>31</v>
      </c>
      <c r="C645" s="1" t="s">
        <v>33</v>
      </c>
      <c r="D645" s="2">
        <v>60000</v>
      </c>
      <c r="E645" s="2" t="str">
        <f>IF(bike_buyers[[#This Row],[Income]]&lt;40000,"Under 40K", IF(bike_buyers[[#This Row],[Income]]&lt;60000,"40K-59K", IF(bike_buyers[[#This Row],[Income]]&lt;80000,"60K-79K", IF(bike_buyers[[#This Row],[Income]]&lt;100000,"80K-99K","100K+"))))</f>
        <v>60K-79K</v>
      </c>
      <c r="F645">
        <v>1</v>
      </c>
      <c r="G645" s="1" t="s">
        <v>12</v>
      </c>
      <c r="H645" s="1" t="s">
        <v>20</v>
      </c>
      <c r="I645" s="1" t="s">
        <v>14</v>
      </c>
      <c r="J645">
        <v>1</v>
      </c>
      <c r="K645" s="1" t="s">
        <v>21</v>
      </c>
      <c r="L645" s="1" t="s">
        <v>30</v>
      </c>
      <c r="M645">
        <v>48</v>
      </c>
      <c r="N645" s="1" t="str" cm="1">
        <f t="array" ref="N645">_xlfn.IFS(M645&lt;40, " Adult", M645&lt;60, "Middle Age", M645&gt;=60, "Older Adult")</f>
        <v>Middle Age</v>
      </c>
      <c r="O645" s="1" t="s">
        <v>14</v>
      </c>
      <c r="P645" s="1">
        <f>IF(O645="Yes", 1)</f>
        <v>1</v>
      </c>
      <c r="Q645" s="1"/>
    </row>
    <row r="646" spans="1:17" x14ac:dyDescent="0.25">
      <c r="A646">
        <v>11807</v>
      </c>
      <c r="B646" s="1" t="s">
        <v>31</v>
      </c>
      <c r="C646" s="1" t="s">
        <v>32</v>
      </c>
      <c r="D646" s="2">
        <v>70000</v>
      </c>
      <c r="E646" s="2" t="str">
        <f>IF(bike_buyers[[#This Row],[Income]]&lt;40000,"Under 40K", IF(bike_buyers[[#This Row],[Income]]&lt;60000,"40K-59K", IF(bike_buyers[[#This Row],[Income]]&lt;80000,"60K-79K", IF(bike_buyers[[#This Row],[Income]]&lt;100000,"80K-99K","100K+"))))</f>
        <v>60K-79K</v>
      </c>
      <c r="F646">
        <v>3</v>
      </c>
      <c r="G646" s="1" t="s">
        <v>29</v>
      </c>
      <c r="H646" s="1" t="s">
        <v>20</v>
      </c>
      <c r="I646" s="1" t="s">
        <v>14</v>
      </c>
      <c r="J646">
        <v>0</v>
      </c>
      <c r="K646" s="1" t="s">
        <v>21</v>
      </c>
      <c r="L646" s="1" t="s">
        <v>30</v>
      </c>
      <c r="M646">
        <v>34</v>
      </c>
      <c r="N646" s="1" t="str" cm="1">
        <f t="array" ref="N646">_xlfn.IFS(M646&lt;40, " Adult", M646&lt;60, "Middle Age", M646&gt;=60, "Older Adult")</f>
        <v xml:space="preserve"> Adult</v>
      </c>
      <c r="O646" s="1" t="s">
        <v>17</v>
      </c>
      <c r="P646" s="1" t="b">
        <f>IF(O646="Yes", 1)</f>
        <v>0</v>
      </c>
      <c r="Q646" s="1"/>
    </row>
    <row r="647" spans="1:17" x14ac:dyDescent="0.25">
      <c r="A647">
        <v>26597</v>
      </c>
      <c r="B647" s="1" t="s">
        <v>34</v>
      </c>
      <c r="C647" s="1" t="s">
        <v>33</v>
      </c>
      <c r="D647" s="2">
        <v>60000</v>
      </c>
      <c r="E647" s="2" t="str">
        <f>IF(bike_buyers[[#This Row],[Income]]&lt;40000,"Under 40K", IF(bike_buyers[[#This Row],[Income]]&lt;60000,"40K-59K", IF(bike_buyers[[#This Row],[Income]]&lt;80000,"60K-79K", IF(bike_buyers[[#This Row],[Income]]&lt;100000,"80K-99K","100K+"))))</f>
        <v>60K-79K</v>
      </c>
      <c r="F647">
        <v>4</v>
      </c>
      <c r="G647" s="1" t="s">
        <v>12</v>
      </c>
      <c r="H647" s="1" t="s">
        <v>13</v>
      </c>
      <c r="I647" s="1" t="s">
        <v>17</v>
      </c>
      <c r="J647">
        <v>2</v>
      </c>
      <c r="K647" s="1" t="s">
        <v>15</v>
      </c>
      <c r="L647" s="1" t="s">
        <v>30</v>
      </c>
      <c r="M647">
        <v>42</v>
      </c>
      <c r="N647" s="1" t="str" cm="1">
        <f t="array" ref="N647">_xlfn.IFS(M647&lt;40, " Adult", M647&lt;60, "Middle Age", M647&gt;=60, "Older Adult")</f>
        <v>Middle Age</v>
      </c>
      <c r="O647" s="1" t="s">
        <v>17</v>
      </c>
      <c r="P647" s="1" t="b">
        <f>IF(O647="Yes", 1)</f>
        <v>0</v>
      </c>
      <c r="Q647" s="1"/>
    </row>
    <row r="648" spans="1:17" x14ac:dyDescent="0.25">
      <c r="A648">
        <v>27074</v>
      </c>
      <c r="B648" s="1" t="s">
        <v>31</v>
      </c>
      <c r="C648" s="1" t="s">
        <v>33</v>
      </c>
      <c r="D648" s="2">
        <v>70000</v>
      </c>
      <c r="E648" s="2" t="str">
        <f>IF(bike_buyers[[#This Row],[Income]]&lt;40000,"Under 40K", IF(bike_buyers[[#This Row],[Income]]&lt;60000,"40K-59K", IF(bike_buyers[[#This Row],[Income]]&lt;80000,"60K-79K", IF(bike_buyers[[#This Row],[Income]]&lt;100000,"80K-99K","100K+"))))</f>
        <v>60K-79K</v>
      </c>
      <c r="F648">
        <v>1</v>
      </c>
      <c r="G648" s="1" t="s">
        <v>29</v>
      </c>
      <c r="H648" s="1" t="s">
        <v>13</v>
      </c>
      <c r="I648" s="1" t="s">
        <v>14</v>
      </c>
      <c r="J648">
        <v>0</v>
      </c>
      <c r="K648" s="1" t="s">
        <v>15</v>
      </c>
      <c r="L648" s="1" t="s">
        <v>30</v>
      </c>
      <c r="M648">
        <v>35</v>
      </c>
      <c r="N648" s="1" t="str" cm="1">
        <f t="array" ref="N648">_xlfn.IFS(M648&lt;40, " Adult", M648&lt;60, "Middle Age", M648&gt;=60, "Older Adult")</f>
        <v xml:space="preserve"> Adult</v>
      </c>
      <c r="O648" s="1" t="s">
        <v>14</v>
      </c>
      <c r="P648" s="1">
        <f>IF(O648="Yes", 1)</f>
        <v>1</v>
      </c>
      <c r="Q648" s="1"/>
    </row>
    <row r="649" spans="1:17" x14ac:dyDescent="0.25">
      <c r="A649">
        <v>17000</v>
      </c>
      <c r="B649" s="1" t="s">
        <v>34</v>
      </c>
      <c r="C649" s="1" t="s">
        <v>33</v>
      </c>
      <c r="D649" s="2">
        <v>70000</v>
      </c>
      <c r="E649" s="2" t="str">
        <f>IF(bike_buyers[[#This Row],[Income]]&lt;40000,"Under 40K", IF(bike_buyers[[#This Row],[Income]]&lt;60000,"40K-59K", IF(bike_buyers[[#This Row],[Income]]&lt;80000,"60K-79K", IF(bike_buyers[[#This Row],[Income]]&lt;100000,"80K-99K","100K+"))))</f>
        <v>60K-79K</v>
      </c>
      <c r="F649">
        <v>4</v>
      </c>
      <c r="G649" s="1" t="s">
        <v>12</v>
      </c>
      <c r="H649" s="1" t="s">
        <v>13</v>
      </c>
      <c r="I649" s="1" t="s">
        <v>14</v>
      </c>
      <c r="J649">
        <v>2</v>
      </c>
      <c r="K649" s="1" t="s">
        <v>21</v>
      </c>
      <c r="L649" s="1" t="s">
        <v>30</v>
      </c>
      <c r="M649">
        <v>43</v>
      </c>
      <c r="N649" s="1" t="str" cm="1">
        <f t="array" ref="N649">_xlfn.IFS(M649&lt;40, " Adult", M649&lt;60, "Middle Age", M649&gt;=60, "Older Adult")</f>
        <v>Middle Age</v>
      </c>
      <c r="O649" s="1" t="s">
        <v>14</v>
      </c>
      <c r="P649" s="1">
        <f>IF(O649="Yes", 1)</f>
        <v>1</v>
      </c>
      <c r="Q649" s="1"/>
    </row>
    <row r="650" spans="1:17" x14ac:dyDescent="0.25">
      <c r="A650">
        <v>14569</v>
      </c>
      <c r="B650" s="1" t="s">
        <v>31</v>
      </c>
      <c r="C650" s="1" t="s">
        <v>32</v>
      </c>
      <c r="D650" s="2">
        <v>60000</v>
      </c>
      <c r="E650" s="2" t="str">
        <f>IF(bike_buyers[[#This Row],[Income]]&lt;40000,"Under 40K", IF(bike_buyers[[#This Row],[Income]]&lt;60000,"40K-59K", IF(bike_buyers[[#This Row],[Income]]&lt;80000,"60K-79K", IF(bike_buyers[[#This Row],[Income]]&lt;100000,"80K-99K","100K+"))))</f>
        <v>60K-79K</v>
      </c>
      <c r="F650">
        <v>1</v>
      </c>
      <c r="G650" s="1" t="s">
        <v>29</v>
      </c>
      <c r="H650" s="1" t="s">
        <v>20</v>
      </c>
      <c r="I650" s="1" t="s">
        <v>14</v>
      </c>
      <c r="J650">
        <v>0</v>
      </c>
      <c r="K650" s="1" t="s">
        <v>15</v>
      </c>
      <c r="L650" s="1" t="s">
        <v>30</v>
      </c>
      <c r="M650">
        <v>35</v>
      </c>
      <c r="N650" s="1" t="str" cm="1">
        <f t="array" ref="N650">_xlfn.IFS(M650&lt;40, " Adult", M650&lt;60, "Middle Age", M650&gt;=60, "Older Adult")</f>
        <v xml:space="preserve"> Adult</v>
      </c>
      <c r="O650" s="1" t="s">
        <v>17</v>
      </c>
      <c r="P650" s="1" t="b">
        <f>IF(O650="Yes", 1)</f>
        <v>0</v>
      </c>
      <c r="Q650" s="1"/>
    </row>
    <row r="651" spans="1:17" x14ac:dyDescent="0.25">
      <c r="A651">
        <v>13873</v>
      </c>
      <c r="B651" s="1" t="s">
        <v>31</v>
      </c>
      <c r="C651" s="1" t="s">
        <v>32</v>
      </c>
      <c r="D651" s="2">
        <v>70000</v>
      </c>
      <c r="E651" s="2" t="str">
        <f>IF(bike_buyers[[#This Row],[Income]]&lt;40000,"Under 40K", IF(bike_buyers[[#This Row],[Income]]&lt;60000,"40K-59K", IF(bike_buyers[[#This Row],[Income]]&lt;80000,"60K-79K", IF(bike_buyers[[#This Row],[Income]]&lt;100000,"80K-99K","100K+"))))</f>
        <v>60K-79K</v>
      </c>
      <c r="F651">
        <v>3</v>
      </c>
      <c r="G651" s="1" t="s">
        <v>29</v>
      </c>
      <c r="H651" s="1" t="s">
        <v>20</v>
      </c>
      <c r="I651" s="1" t="s">
        <v>14</v>
      </c>
      <c r="J651">
        <v>0</v>
      </c>
      <c r="K651" s="1" t="s">
        <v>15</v>
      </c>
      <c r="L651" s="1" t="s">
        <v>30</v>
      </c>
      <c r="M651">
        <v>35</v>
      </c>
      <c r="N651" s="1" t="str" cm="1">
        <f t="array" ref="N651">_xlfn.IFS(M651&lt;40, " Adult", M651&lt;60, "Middle Age", M651&gt;=60, "Older Adult")</f>
        <v xml:space="preserve"> Adult</v>
      </c>
      <c r="O651" s="1" t="s">
        <v>14</v>
      </c>
      <c r="P651" s="1">
        <f>IF(O651="Yes", 1)</f>
        <v>1</v>
      </c>
      <c r="Q651" s="1"/>
    </row>
    <row r="652" spans="1:17" x14ac:dyDescent="0.25">
      <c r="A652">
        <v>18066</v>
      </c>
      <c r="B652" s="1" t="s">
        <v>34</v>
      </c>
      <c r="C652" s="1" t="s">
        <v>32</v>
      </c>
      <c r="D652" s="2">
        <v>70000</v>
      </c>
      <c r="E652" s="2" t="str">
        <f>IF(bike_buyers[[#This Row],[Income]]&lt;40000,"Under 40K", IF(bike_buyers[[#This Row],[Income]]&lt;60000,"40K-59K", IF(bike_buyers[[#This Row],[Income]]&lt;80000,"60K-79K", IF(bike_buyers[[#This Row],[Income]]&lt;100000,"80K-99K","100K+"))))</f>
        <v>60K-79K</v>
      </c>
      <c r="F652">
        <v>5</v>
      </c>
      <c r="G652" s="1" t="s">
        <v>12</v>
      </c>
      <c r="H652" s="1" t="s">
        <v>27</v>
      </c>
      <c r="I652" s="1" t="s">
        <v>14</v>
      </c>
      <c r="J652">
        <v>3</v>
      </c>
      <c r="K652" s="1" t="s">
        <v>62</v>
      </c>
      <c r="L652" s="1" t="s">
        <v>30</v>
      </c>
      <c r="M652">
        <v>60</v>
      </c>
      <c r="N652" s="1" t="str" cm="1">
        <f t="array" ref="N652">_xlfn.IFS(M652&lt;40, " Adult", M652&lt;60, "Middle Age", M652&gt;=60, "Older Adult")</f>
        <v>Older Adult</v>
      </c>
      <c r="O652" s="1" t="s">
        <v>14</v>
      </c>
      <c r="P652" s="1">
        <f>IF(O652="Yes", 1)</f>
        <v>1</v>
      </c>
      <c r="Q652" s="1"/>
    </row>
    <row r="653" spans="1:17" x14ac:dyDescent="0.25">
      <c r="A653">
        <v>28192</v>
      </c>
      <c r="B653" s="1" t="s">
        <v>31</v>
      </c>
      <c r="C653" s="1" t="s">
        <v>33</v>
      </c>
      <c r="D653" s="2">
        <v>70000</v>
      </c>
      <c r="E653" s="2" t="str">
        <f>IF(bike_buyers[[#This Row],[Income]]&lt;40000,"Under 40K", IF(bike_buyers[[#This Row],[Income]]&lt;60000,"40K-59K", IF(bike_buyers[[#This Row],[Income]]&lt;80000,"60K-79K", IF(bike_buyers[[#This Row],[Income]]&lt;100000,"80K-99K","100K+"))))</f>
        <v>60K-79K</v>
      </c>
      <c r="F653">
        <v>5</v>
      </c>
      <c r="G653" s="1" t="s">
        <v>29</v>
      </c>
      <c r="H653" s="1" t="s">
        <v>20</v>
      </c>
      <c r="I653" s="1" t="s">
        <v>14</v>
      </c>
      <c r="J653">
        <v>3</v>
      </c>
      <c r="K653" s="1" t="s">
        <v>62</v>
      </c>
      <c r="L653" s="1" t="s">
        <v>30</v>
      </c>
      <c r="M653">
        <v>46</v>
      </c>
      <c r="N653" s="1" t="str" cm="1">
        <f t="array" ref="N653">_xlfn.IFS(M653&lt;40, " Adult", M653&lt;60, "Middle Age", M653&gt;=60, "Older Adult")</f>
        <v>Middle Age</v>
      </c>
      <c r="O653" s="1" t="s">
        <v>17</v>
      </c>
      <c r="P653" s="1" t="b">
        <f>IF(O653="Yes", 1)</f>
        <v>0</v>
      </c>
      <c r="Q653" s="1"/>
    </row>
    <row r="654" spans="1:17" x14ac:dyDescent="0.25">
      <c r="A654">
        <v>18607</v>
      </c>
      <c r="B654" s="1" t="s">
        <v>34</v>
      </c>
      <c r="C654" s="1" t="s">
        <v>33</v>
      </c>
      <c r="D654" s="2">
        <v>60000</v>
      </c>
      <c r="E654" s="2" t="str">
        <f>IF(bike_buyers[[#This Row],[Income]]&lt;40000,"Under 40K", IF(bike_buyers[[#This Row],[Income]]&lt;60000,"40K-59K", IF(bike_buyers[[#This Row],[Income]]&lt;80000,"60K-79K", IF(bike_buyers[[#This Row],[Income]]&lt;100000,"80K-99K","100K+"))))</f>
        <v>60K-79K</v>
      </c>
      <c r="F654">
        <v>4</v>
      </c>
      <c r="G654" s="1" t="s">
        <v>12</v>
      </c>
      <c r="H654" s="1" t="s">
        <v>13</v>
      </c>
      <c r="I654" s="1" t="s">
        <v>14</v>
      </c>
      <c r="J654">
        <v>2</v>
      </c>
      <c r="K654" s="1" t="s">
        <v>21</v>
      </c>
      <c r="L654" s="1" t="s">
        <v>30</v>
      </c>
      <c r="M654">
        <v>42</v>
      </c>
      <c r="N654" s="1" t="str" cm="1">
        <f t="array" ref="N654">_xlfn.IFS(M654&lt;40, " Adult", M654&lt;60, "Middle Age", M654&gt;=60, "Older Adult")</f>
        <v>Middle Age</v>
      </c>
      <c r="O654" s="1" t="s">
        <v>14</v>
      </c>
      <c r="P654" s="1">
        <f>IF(O654="Yes", 1)</f>
        <v>1</v>
      </c>
      <c r="Q654" s="1"/>
    </row>
    <row r="655" spans="1:17" x14ac:dyDescent="0.25">
      <c r="A655">
        <v>26305</v>
      </c>
      <c r="B655" s="1" t="s">
        <v>34</v>
      </c>
      <c r="C655" s="1" t="s">
        <v>33</v>
      </c>
      <c r="D655" s="2">
        <v>60000</v>
      </c>
      <c r="E655" s="2" t="str">
        <f>IF(bike_buyers[[#This Row],[Income]]&lt;40000,"Under 40K", IF(bike_buyers[[#This Row],[Income]]&lt;60000,"40K-59K", IF(bike_buyers[[#This Row],[Income]]&lt;80000,"60K-79K", IF(bike_buyers[[#This Row],[Income]]&lt;100000,"80K-99K","100K+"))))</f>
        <v>60K-79K</v>
      </c>
      <c r="F655">
        <v>2</v>
      </c>
      <c r="G655" s="1" t="s">
        <v>12</v>
      </c>
      <c r="H655" s="1" t="s">
        <v>13</v>
      </c>
      <c r="I655" s="1" t="s">
        <v>17</v>
      </c>
      <c r="J655">
        <v>0</v>
      </c>
      <c r="K655" s="1" t="s">
        <v>15</v>
      </c>
      <c r="L655" s="1" t="s">
        <v>30</v>
      </c>
      <c r="M655">
        <v>36</v>
      </c>
      <c r="N655" s="1" t="str" cm="1">
        <f t="array" ref="N655">_xlfn.IFS(M655&lt;40, " Adult", M655&lt;60, "Middle Age", M655&gt;=60, "Older Adult")</f>
        <v xml:space="preserve"> Adult</v>
      </c>
      <c r="O655" s="1" t="s">
        <v>14</v>
      </c>
      <c r="P655" s="1">
        <f>IF(O655="Yes", 1)</f>
        <v>1</v>
      </c>
      <c r="Q655" s="1"/>
    </row>
    <row r="656" spans="1:17" x14ac:dyDescent="0.25">
      <c r="A656">
        <v>25394</v>
      </c>
      <c r="B656" s="1" t="s">
        <v>31</v>
      </c>
      <c r="C656" s="1" t="s">
        <v>32</v>
      </c>
      <c r="D656" s="2">
        <v>60000</v>
      </c>
      <c r="E656" s="2" t="str">
        <f>IF(bike_buyers[[#This Row],[Income]]&lt;40000,"Under 40K", IF(bike_buyers[[#This Row],[Income]]&lt;60000,"40K-59K", IF(bike_buyers[[#This Row],[Income]]&lt;80000,"60K-79K", IF(bike_buyers[[#This Row],[Income]]&lt;100000,"80K-99K","100K+"))))</f>
        <v>60K-79K</v>
      </c>
      <c r="F656">
        <v>1</v>
      </c>
      <c r="G656" s="1" t="s">
        <v>29</v>
      </c>
      <c r="H656" s="1" t="s">
        <v>20</v>
      </c>
      <c r="I656" s="1" t="s">
        <v>14</v>
      </c>
      <c r="J656">
        <v>0</v>
      </c>
      <c r="K656" s="1" t="s">
        <v>21</v>
      </c>
      <c r="L656" s="1" t="s">
        <v>30</v>
      </c>
      <c r="M656">
        <v>34</v>
      </c>
      <c r="N656" s="1" t="str" cm="1">
        <f t="array" ref="N656">_xlfn.IFS(M656&lt;40, " Adult", M656&lt;60, "Middle Age", M656&gt;=60, "Older Adult")</f>
        <v xml:space="preserve"> Adult</v>
      </c>
      <c r="O656" s="1" t="s">
        <v>14</v>
      </c>
      <c r="P656" s="1">
        <f>IF(O656="Yes", 1)</f>
        <v>1</v>
      </c>
      <c r="Q656" s="1"/>
    </row>
    <row r="657" spans="1:17" x14ac:dyDescent="0.25">
      <c r="A657">
        <v>21695</v>
      </c>
      <c r="B657" s="1" t="s">
        <v>31</v>
      </c>
      <c r="C657" s="1" t="s">
        <v>32</v>
      </c>
      <c r="D657" s="2">
        <v>60000</v>
      </c>
      <c r="E657" s="2" t="str">
        <f>IF(bike_buyers[[#This Row],[Income]]&lt;40000,"Under 40K", IF(bike_buyers[[#This Row],[Income]]&lt;60000,"40K-59K", IF(bike_buyers[[#This Row],[Income]]&lt;80000,"60K-79K", IF(bike_buyers[[#This Row],[Income]]&lt;100000,"80K-99K","100K+"))))</f>
        <v>60K-79K</v>
      </c>
      <c r="F657">
        <v>0</v>
      </c>
      <c r="G657" s="1" t="s">
        <v>29</v>
      </c>
      <c r="H657" s="1" t="s">
        <v>13</v>
      </c>
      <c r="I657" s="1" t="s">
        <v>14</v>
      </c>
      <c r="J657">
        <v>0</v>
      </c>
      <c r="K657" s="1" t="s">
        <v>25</v>
      </c>
      <c r="L657" s="1" t="s">
        <v>30</v>
      </c>
      <c r="M657">
        <v>39</v>
      </c>
      <c r="N657" s="1" t="str" cm="1">
        <f t="array" ref="N657">_xlfn.IFS(M657&lt;40, " Adult", M657&lt;60, "Middle Age", M657&gt;=60, "Older Adult")</f>
        <v xml:space="preserve"> Adult</v>
      </c>
      <c r="O657" s="1" t="s">
        <v>14</v>
      </c>
      <c r="P657" s="1">
        <f>IF(O657="Yes", 1)</f>
        <v>1</v>
      </c>
      <c r="Q657" s="1"/>
    </row>
    <row r="658" spans="1:17" x14ac:dyDescent="0.25">
      <c r="A658">
        <v>28657</v>
      </c>
      <c r="B658" s="1" t="s">
        <v>34</v>
      </c>
      <c r="C658" s="1" t="s">
        <v>32</v>
      </c>
      <c r="D658" s="2">
        <v>60000</v>
      </c>
      <c r="E658" s="2" t="str">
        <f>IF(bike_buyers[[#This Row],[Income]]&lt;40000,"Under 40K", IF(bike_buyers[[#This Row],[Income]]&lt;60000,"40K-59K", IF(bike_buyers[[#This Row],[Income]]&lt;80000,"60K-79K", IF(bike_buyers[[#This Row],[Income]]&lt;100000,"80K-99K","100K+"))))</f>
        <v>60K-79K</v>
      </c>
      <c r="F658">
        <v>2</v>
      </c>
      <c r="G658" s="1" t="s">
        <v>12</v>
      </c>
      <c r="H658" s="1" t="s">
        <v>13</v>
      </c>
      <c r="I658" s="1" t="s">
        <v>14</v>
      </c>
      <c r="J658">
        <v>0</v>
      </c>
      <c r="K658" s="1" t="s">
        <v>21</v>
      </c>
      <c r="L658" s="1" t="s">
        <v>30</v>
      </c>
      <c r="M658">
        <v>36</v>
      </c>
      <c r="N658" s="1" t="str" cm="1">
        <f t="array" ref="N658">_xlfn.IFS(M658&lt;40, " Adult", M658&lt;60, "Middle Age", M658&gt;=60, "Older Adult")</f>
        <v xml:space="preserve"> Adult</v>
      </c>
      <c r="O658" s="1" t="s">
        <v>14</v>
      </c>
      <c r="P658" s="1">
        <f>IF(O658="Yes", 1)</f>
        <v>1</v>
      </c>
      <c r="Q658" s="1"/>
    </row>
    <row r="659" spans="1:17" x14ac:dyDescent="0.25">
      <c r="A659">
        <v>21752</v>
      </c>
      <c r="B659" s="1" t="s">
        <v>31</v>
      </c>
      <c r="C659" s="1" t="s">
        <v>32</v>
      </c>
      <c r="D659" s="2">
        <v>60000</v>
      </c>
      <c r="E659" s="2" t="str">
        <f>IF(bike_buyers[[#This Row],[Income]]&lt;40000,"Under 40K", IF(bike_buyers[[#This Row],[Income]]&lt;60000,"40K-59K", IF(bike_buyers[[#This Row],[Income]]&lt;80000,"60K-79K", IF(bike_buyers[[#This Row],[Income]]&lt;100000,"80K-99K","100K+"))))</f>
        <v>60K-79K</v>
      </c>
      <c r="F659">
        <v>3</v>
      </c>
      <c r="G659" s="1" t="s">
        <v>29</v>
      </c>
      <c r="H659" s="1" t="s">
        <v>27</v>
      </c>
      <c r="I659" s="1" t="s">
        <v>14</v>
      </c>
      <c r="J659">
        <v>2</v>
      </c>
      <c r="K659" s="1" t="s">
        <v>62</v>
      </c>
      <c r="L659" s="1" t="s">
        <v>30</v>
      </c>
      <c r="M659">
        <v>64</v>
      </c>
      <c r="N659" s="1" t="str" cm="1">
        <f t="array" ref="N659">_xlfn.IFS(M659&lt;40, " Adult", M659&lt;60, "Middle Age", M659&gt;=60, "Older Adult")</f>
        <v>Older Adult</v>
      </c>
      <c r="O659" s="1" t="s">
        <v>17</v>
      </c>
      <c r="P659" s="1" t="b">
        <f>IF(O659="Yes", 1)</f>
        <v>0</v>
      </c>
      <c r="Q659" s="1"/>
    </row>
    <row r="660" spans="1:17" x14ac:dyDescent="0.25">
      <c r="A660">
        <v>27273</v>
      </c>
      <c r="B660" s="1" t="s">
        <v>34</v>
      </c>
      <c r="C660" s="1" t="s">
        <v>32</v>
      </c>
      <c r="D660" s="2">
        <v>70000</v>
      </c>
      <c r="E660" s="2" t="str">
        <f>IF(bike_buyers[[#This Row],[Income]]&lt;40000,"Under 40K", IF(bike_buyers[[#This Row],[Income]]&lt;60000,"40K-59K", IF(bike_buyers[[#This Row],[Income]]&lt;80000,"60K-79K", IF(bike_buyers[[#This Row],[Income]]&lt;100000,"80K-99K","100K+"))))</f>
        <v>60K-79K</v>
      </c>
      <c r="F660">
        <v>3</v>
      </c>
      <c r="G660" s="1" t="s">
        <v>29</v>
      </c>
      <c r="H660" s="1" t="s">
        <v>20</v>
      </c>
      <c r="I660" s="1" t="s">
        <v>17</v>
      </c>
      <c r="J660">
        <v>0</v>
      </c>
      <c r="K660" s="1" t="s">
        <v>15</v>
      </c>
      <c r="L660" s="1" t="s">
        <v>30</v>
      </c>
      <c r="M660">
        <v>35</v>
      </c>
      <c r="N660" s="1" t="str" cm="1">
        <f t="array" ref="N660">_xlfn.IFS(M660&lt;40, " Adult", M660&lt;60, "Middle Age", M660&gt;=60, "Older Adult")</f>
        <v xml:space="preserve"> Adult</v>
      </c>
      <c r="O660" s="1" t="s">
        <v>14</v>
      </c>
      <c r="P660" s="1">
        <f>IF(O660="Yes", 1)</f>
        <v>1</v>
      </c>
      <c r="Q660" s="1"/>
    </row>
    <row r="661" spans="1:17" x14ac:dyDescent="0.25">
      <c r="A661">
        <v>22042</v>
      </c>
      <c r="B661" s="1" t="s">
        <v>31</v>
      </c>
      <c r="C661" s="1" t="s">
        <v>33</v>
      </c>
      <c r="D661" s="2">
        <v>70000</v>
      </c>
      <c r="E661" s="2" t="str">
        <f>IF(bike_buyers[[#This Row],[Income]]&lt;40000,"Under 40K", IF(bike_buyers[[#This Row],[Income]]&lt;60000,"40K-59K", IF(bike_buyers[[#This Row],[Income]]&lt;80000,"60K-79K", IF(bike_buyers[[#This Row],[Income]]&lt;100000,"80K-99K","100K+"))))</f>
        <v>60K-79K</v>
      </c>
      <c r="F661">
        <v>0</v>
      </c>
      <c r="G661" s="1" t="s">
        <v>18</v>
      </c>
      <c r="H661" s="1" t="s">
        <v>13</v>
      </c>
      <c r="I661" s="1" t="s">
        <v>14</v>
      </c>
      <c r="J661">
        <v>2</v>
      </c>
      <c r="K661" s="1" t="s">
        <v>22</v>
      </c>
      <c r="L661" s="1" t="s">
        <v>30</v>
      </c>
      <c r="M661">
        <v>34</v>
      </c>
      <c r="N661" s="1" t="str" cm="1">
        <f t="array" ref="N661">_xlfn.IFS(M661&lt;40, " Adult", M661&lt;60, "Middle Age", M661&gt;=60, "Older Adult")</f>
        <v xml:space="preserve"> Adult</v>
      </c>
      <c r="O661" s="1" t="s">
        <v>14</v>
      </c>
      <c r="P661" s="1">
        <f>IF(O661="Yes", 1)</f>
        <v>1</v>
      </c>
      <c r="Q661" s="1"/>
    </row>
    <row r="662" spans="1:17" x14ac:dyDescent="0.25">
      <c r="A662">
        <v>12153</v>
      </c>
      <c r="B662" s="1" t="s">
        <v>34</v>
      </c>
      <c r="C662" s="1" t="s">
        <v>33</v>
      </c>
      <c r="D662" s="2">
        <v>70000</v>
      </c>
      <c r="E662" s="2" t="str">
        <f>IF(bike_buyers[[#This Row],[Income]]&lt;40000,"Under 40K", IF(bike_buyers[[#This Row],[Income]]&lt;60000,"40K-59K", IF(bike_buyers[[#This Row],[Income]]&lt;80000,"60K-79K", IF(bike_buyers[[#This Row],[Income]]&lt;100000,"80K-99K","100K+"))))</f>
        <v>60K-79K</v>
      </c>
      <c r="F662">
        <v>3</v>
      </c>
      <c r="G662" s="1" t="s">
        <v>18</v>
      </c>
      <c r="H662" s="1" t="s">
        <v>20</v>
      </c>
      <c r="I662" s="1" t="s">
        <v>14</v>
      </c>
      <c r="J662">
        <v>1</v>
      </c>
      <c r="K662" s="1" t="s">
        <v>22</v>
      </c>
      <c r="L662" s="1" t="s">
        <v>30</v>
      </c>
      <c r="M662">
        <v>49</v>
      </c>
      <c r="N662" s="1" t="str" cm="1">
        <f t="array" ref="N662">_xlfn.IFS(M662&lt;40, " Adult", M662&lt;60, "Middle Age", M662&gt;=60, "Older Adult")</f>
        <v>Middle Age</v>
      </c>
      <c r="O662" s="1" t="s">
        <v>14</v>
      </c>
      <c r="P662" s="1">
        <f>IF(O662="Yes", 1)</f>
        <v>1</v>
      </c>
      <c r="Q662" s="1"/>
    </row>
    <row r="663" spans="1:17" x14ac:dyDescent="0.25">
      <c r="A663">
        <v>26728</v>
      </c>
      <c r="B663" s="1" t="s">
        <v>34</v>
      </c>
      <c r="C663" s="1" t="s">
        <v>32</v>
      </c>
      <c r="D663" s="2">
        <v>70000</v>
      </c>
      <c r="E663" s="2" t="str">
        <f>IF(bike_buyers[[#This Row],[Income]]&lt;40000,"Under 40K", IF(bike_buyers[[#This Row],[Income]]&lt;60000,"40K-59K", IF(bike_buyers[[#This Row],[Income]]&lt;80000,"60K-79K", IF(bike_buyers[[#This Row],[Income]]&lt;100000,"80K-99K","100K+"))))</f>
        <v>60K-79K</v>
      </c>
      <c r="F663">
        <v>3</v>
      </c>
      <c r="G663" s="1" t="s">
        <v>29</v>
      </c>
      <c r="H663" s="1" t="s">
        <v>27</v>
      </c>
      <c r="I663" s="1" t="s">
        <v>17</v>
      </c>
      <c r="J663">
        <v>2</v>
      </c>
      <c r="K663" s="1" t="s">
        <v>25</v>
      </c>
      <c r="L663" s="1" t="s">
        <v>30</v>
      </c>
      <c r="M663">
        <v>53</v>
      </c>
      <c r="N663" s="1" t="str" cm="1">
        <f t="array" ref="N663">_xlfn.IFS(M663&lt;40, " Adult", M663&lt;60, "Middle Age", M663&gt;=60, "Older Adult")</f>
        <v>Middle Age</v>
      </c>
      <c r="O663" s="1" t="s">
        <v>14</v>
      </c>
      <c r="P663" s="1">
        <f>IF(O663="Yes", 1)</f>
        <v>1</v>
      </c>
      <c r="Q663" s="1"/>
    </row>
    <row r="664" spans="1:17" x14ac:dyDescent="0.25">
      <c r="A664">
        <v>11823</v>
      </c>
      <c r="B664" s="1" t="s">
        <v>31</v>
      </c>
      <c r="C664" s="1" t="s">
        <v>33</v>
      </c>
      <c r="D664" s="2">
        <v>70000</v>
      </c>
      <c r="E664" s="2" t="str">
        <f>IF(bike_buyers[[#This Row],[Income]]&lt;40000,"Under 40K", IF(bike_buyers[[#This Row],[Income]]&lt;60000,"40K-59K", IF(bike_buyers[[#This Row],[Income]]&lt;80000,"60K-79K", IF(bike_buyers[[#This Row],[Income]]&lt;100000,"80K-99K","100K+"))))</f>
        <v>60K-79K</v>
      </c>
      <c r="F664">
        <v>0</v>
      </c>
      <c r="G664" s="1" t="s">
        <v>29</v>
      </c>
      <c r="H664" s="1" t="s">
        <v>20</v>
      </c>
      <c r="I664" s="1" t="s">
        <v>14</v>
      </c>
      <c r="J664">
        <v>0</v>
      </c>
      <c r="K664" s="1" t="s">
        <v>21</v>
      </c>
      <c r="L664" s="1" t="s">
        <v>30</v>
      </c>
      <c r="M664">
        <v>39</v>
      </c>
      <c r="N664" s="1" t="str" cm="1">
        <f t="array" ref="N664">_xlfn.IFS(M664&lt;40, " Adult", M664&lt;60, "Middle Age", M664&gt;=60, "Older Adult")</f>
        <v xml:space="preserve"> Adult</v>
      </c>
      <c r="O664" s="1" t="s">
        <v>17</v>
      </c>
      <c r="P664" s="1" t="b">
        <f>IF(O664="Yes", 1)</f>
        <v>0</v>
      </c>
      <c r="Q664" s="1"/>
    </row>
    <row r="665" spans="1:17" x14ac:dyDescent="0.25">
      <c r="A665">
        <v>23449</v>
      </c>
      <c r="B665" s="1" t="s">
        <v>31</v>
      </c>
      <c r="C665" s="1" t="s">
        <v>32</v>
      </c>
      <c r="D665" s="2">
        <v>60000</v>
      </c>
      <c r="E665" s="2" t="str">
        <f>IF(bike_buyers[[#This Row],[Income]]&lt;40000,"Under 40K", IF(bike_buyers[[#This Row],[Income]]&lt;60000,"40K-59K", IF(bike_buyers[[#This Row],[Income]]&lt;80000,"60K-79K", IF(bike_buyers[[#This Row],[Income]]&lt;100000,"80K-99K","100K+"))))</f>
        <v>60K-79K</v>
      </c>
      <c r="F665">
        <v>2</v>
      </c>
      <c r="G665" s="1" t="s">
        <v>26</v>
      </c>
      <c r="H665" s="1" t="s">
        <v>20</v>
      </c>
      <c r="I665" s="1" t="s">
        <v>14</v>
      </c>
      <c r="J665">
        <v>2</v>
      </c>
      <c r="K665" s="1" t="s">
        <v>22</v>
      </c>
      <c r="L665" s="1" t="s">
        <v>30</v>
      </c>
      <c r="M665">
        <v>48</v>
      </c>
      <c r="N665" s="1" t="str" cm="1">
        <f t="array" ref="N665">_xlfn.IFS(M665&lt;40, " Adult", M665&lt;60, "Middle Age", M665&gt;=60, "Older Adult")</f>
        <v>Middle Age</v>
      </c>
      <c r="O665" s="1" t="s">
        <v>17</v>
      </c>
      <c r="P665" s="1" t="b">
        <f>IF(O665="Yes", 1)</f>
        <v>0</v>
      </c>
      <c r="Q665" s="1"/>
    </row>
    <row r="666" spans="1:17" x14ac:dyDescent="0.25">
      <c r="A666">
        <v>23459</v>
      </c>
      <c r="B666" s="1" t="s">
        <v>31</v>
      </c>
      <c r="C666" s="1" t="s">
        <v>32</v>
      </c>
      <c r="D666" s="2">
        <v>60000</v>
      </c>
      <c r="E666" s="2" t="str">
        <f>IF(bike_buyers[[#This Row],[Income]]&lt;40000,"Under 40K", IF(bike_buyers[[#This Row],[Income]]&lt;60000,"40K-59K", IF(bike_buyers[[#This Row],[Income]]&lt;80000,"60K-79K", IF(bike_buyers[[#This Row],[Income]]&lt;100000,"80K-99K","100K+"))))</f>
        <v>60K-79K</v>
      </c>
      <c r="F666">
        <v>2</v>
      </c>
      <c r="G666" s="1" t="s">
        <v>26</v>
      </c>
      <c r="H666" s="1" t="s">
        <v>20</v>
      </c>
      <c r="I666" s="1" t="s">
        <v>14</v>
      </c>
      <c r="J666">
        <v>2</v>
      </c>
      <c r="K666" s="1" t="s">
        <v>22</v>
      </c>
      <c r="L666" s="1" t="s">
        <v>30</v>
      </c>
      <c r="M666">
        <v>50</v>
      </c>
      <c r="N666" s="1" t="str" cm="1">
        <f t="array" ref="N666">_xlfn.IFS(M666&lt;40, " Adult", M666&lt;60, "Middle Age", M666&gt;=60, "Older Adult")</f>
        <v>Middle Age</v>
      </c>
      <c r="O666" s="1" t="s">
        <v>17</v>
      </c>
      <c r="P666" s="1" t="b">
        <f>IF(O666="Yes", 1)</f>
        <v>0</v>
      </c>
      <c r="Q666" s="1"/>
    </row>
    <row r="667" spans="1:17" x14ac:dyDescent="0.25">
      <c r="A667">
        <v>19543</v>
      </c>
      <c r="B667" s="1" t="s">
        <v>31</v>
      </c>
      <c r="C667" s="1" t="s">
        <v>32</v>
      </c>
      <c r="D667" s="2">
        <v>70000</v>
      </c>
      <c r="E667" s="2" t="str">
        <f>IF(bike_buyers[[#This Row],[Income]]&lt;40000,"Under 40K", IF(bike_buyers[[#This Row],[Income]]&lt;60000,"40K-59K", IF(bike_buyers[[#This Row],[Income]]&lt;80000,"60K-79K", IF(bike_buyers[[#This Row],[Income]]&lt;100000,"80K-99K","100K+"))))</f>
        <v>60K-79K</v>
      </c>
      <c r="F667">
        <v>5</v>
      </c>
      <c r="G667" s="1" t="s">
        <v>29</v>
      </c>
      <c r="H667" s="1" t="s">
        <v>20</v>
      </c>
      <c r="I667" s="1" t="s">
        <v>17</v>
      </c>
      <c r="J667">
        <v>3</v>
      </c>
      <c r="K667" s="1" t="s">
        <v>62</v>
      </c>
      <c r="L667" s="1" t="s">
        <v>30</v>
      </c>
      <c r="M667">
        <v>47</v>
      </c>
      <c r="N667" s="1" t="str" cm="1">
        <f t="array" ref="N667">_xlfn.IFS(M667&lt;40, " Adult", M667&lt;60, "Middle Age", M667&gt;=60, "Older Adult")</f>
        <v>Middle Age</v>
      </c>
      <c r="O667" s="1" t="s">
        <v>17</v>
      </c>
      <c r="P667" s="1" t="b">
        <f>IF(O667="Yes", 1)</f>
        <v>0</v>
      </c>
      <c r="Q667" s="1"/>
    </row>
    <row r="668" spans="1:17" x14ac:dyDescent="0.25">
      <c r="A668">
        <v>11941</v>
      </c>
      <c r="B668" s="1" t="s">
        <v>34</v>
      </c>
      <c r="C668" s="1" t="s">
        <v>32</v>
      </c>
      <c r="D668" s="2">
        <v>60000</v>
      </c>
      <c r="E668" s="2" t="str">
        <f>IF(bike_buyers[[#This Row],[Income]]&lt;40000,"Under 40K", IF(bike_buyers[[#This Row],[Income]]&lt;60000,"40K-59K", IF(bike_buyers[[#This Row],[Income]]&lt;80000,"60K-79K", IF(bike_buyers[[#This Row],[Income]]&lt;100000,"80K-99K","100K+"))))</f>
        <v>60K-79K</v>
      </c>
      <c r="F668">
        <v>0</v>
      </c>
      <c r="G668" s="1" t="s">
        <v>18</v>
      </c>
      <c r="H668" s="1" t="s">
        <v>13</v>
      </c>
      <c r="I668" s="1" t="s">
        <v>14</v>
      </c>
      <c r="J668">
        <v>0</v>
      </c>
      <c r="K668" s="1" t="s">
        <v>22</v>
      </c>
      <c r="L668" s="1" t="s">
        <v>30</v>
      </c>
      <c r="M668">
        <v>29</v>
      </c>
      <c r="N668" s="1" t="str" cm="1">
        <f t="array" ref="N668">_xlfn.IFS(M668&lt;40, " Adult", M668&lt;60, "Middle Age", M668&gt;=60, "Older Adult")</f>
        <v xml:space="preserve"> Adult</v>
      </c>
      <c r="O668" s="1" t="s">
        <v>17</v>
      </c>
      <c r="P668" s="1" t="b">
        <f>IF(O668="Yes", 1)</f>
        <v>0</v>
      </c>
      <c r="Q668" s="1"/>
    </row>
    <row r="669" spans="1:17" x14ac:dyDescent="0.25">
      <c r="A669">
        <v>14389</v>
      </c>
      <c r="B669" s="1" t="s">
        <v>31</v>
      </c>
      <c r="C669" s="1" t="s">
        <v>32</v>
      </c>
      <c r="D669" s="2">
        <v>60000</v>
      </c>
      <c r="E669" s="2" t="str">
        <f>IF(bike_buyers[[#This Row],[Income]]&lt;40000,"Under 40K", IF(bike_buyers[[#This Row],[Income]]&lt;60000,"40K-59K", IF(bike_buyers[[#This Row],[Income]]&lt;80000,"60K-79K", IF(bike_buyers[[#This Row],[Income]]&lt;100000,"80K-99K","100K+"))))</f>
        <v>60K-79K</v>
      </c>
      <c r="F669">
        <v>2</v>
      </c>
      <c r="G669" s="1" t="s">
        <v>12</v>
      </c>
      <c r="H669" s="1" t="s">
        <v>27</v>
      </c>
      <c r="I669" s="1" t="s">
        <v>14</v>
      </c>
      <c r="J669">
        <v>0</v>
      </c>
      <c r="K669" s="1" t="s">
        <v>21</v>
      </c>
      <c r="L669" s="1" t="s">
        <v>30</v>
      </c>
      <c r="M669">
        <v>59</v>
      </c>
      <c r="N669" s="1" t="str" cm="1">
        <f t="array" ref="N669">_xlfn.IFS(M669&lt;40, " Adult", M669&lt;60, "Middle Age", M669&gt;=60, "Older Adult")</f>
        <v>Middle Age</v>
      </c>
      <c r="O669" s="1" t="s">
        <v>17</v>
      </c>
      <c r="P669" s="1" t="b">
        <f>IF(O669="Yes", 1)</f>
        <v>0</v>
      </c>
      <c r="Q669" s="1"/>
    </row>
    <row r="670" spans="1:17" x14ac:dyDescent="0.25">
      <c r="A670">
        <v>18050</v>
      </c>
      <c r="B670" s="1" t="s">
        <v>31</v>
      </c>
      <c r="C670" s="1" t="s">
        <v>33</v>
      </c>
      <c r="D670" s="2">
        <v>60000</v>
      </c>
      <c r="E670" s="2" t="str">
        <f>IF(bike_buyers[[#This Row],[Income]]&lt;40000,"Under 40K", IF(bike_buyers[[#This Row],[Income]]&lt;60000,"40K-59K", IF(bike_buyers[[#This Row],[Income]]&lt;80000,"60K-79K", IF(bike_buyers[[#This Row],[Income]]&lt;100000,"80K-99K","100K+"))))</f>
        <v>60K-79K</v>
      </c>
      <c r="F670">
        <v>1</v>
      </c>
      <c r="G670" s="1" t="s">
        <v>18</v>
      </c>
      <c r="H670" s="1" t="s">
        <v>13</v>
      </c>
      <c r="I670" s="1" t="s">
        <v>14</v>
      </c>
      <c r="J670">
        <v>1</v>
      </c>
      <c r="K670" s="1" t="s">
        <v>15</v>
      </c>
      <c r="L670" s="1" t="s">
        <v>30</v>
      </c>
      <c r="M670">
        <v>45</v>
      </c>
      <c r="N670" s="1" t="str" cm="1">
        <f t="array" ref="N670">_xlfn.IFS(M670&lt;40, " Adult", M670&lt;60, "Middle Age", M670&gt;=60, "Older Adult")</f>
        <v>Middle Age</v>
      </c>
      <c r="O670" s="1" t="s">
        <v>14</v>
      </c>
      <c r="P670" s="1">
        <f>IF(O670="Yes", 1)</f>
        <v>1</v>
      </c>
      <c r="Q670" s="1"/>
    </row>
    <row r="671" spans="1:17" x14ac:dyDescent="0.25">
      <c r="A671">
        <v>19856</v>
      </c>
      <c r="B671" s="1" t="s">
        <v>31</v>
      </c>
      <c r="C671" s="1" t="s">
        <v>33</v>
      </c>
      <c r="D671" s="2">
        <v>60000</v>
      </c>
      <c r="E671" s="2" t="str">
        <f>IF(bike_buyers[[#This Row],[Income]]&lt;40000,"Under 40K", IF(bike_buyers[[#This Row],[Income]]&lt;60000,"40K-59K", IF(bike_buyers[[#This Row],[Income]]&lt;80000,"60K-79K", IF(bike_buyers[[#This Row],[Income]]&lt;100000,"80K-99K","100K+"))))</f>
        <v>60K-79K</v>
      </c>
      <c r="F671">
        <v>4</v>
      </c>
      <c r="G671" s="1" t="s">
        <v>12</v>
      </c>
      <c r="H671" s="1" t="s">
        <v>27</v>
      </c>
      <c r="I671" s="1" t="s">
        <v>14</v>
      </c>
      <c r="J671">
        <v>2</v>
      </c>
      <c r="K671" s="1" t="s">
        <v>21</v>
      </c>
      <c r="L671" s="1" t="s">
        <v>30</v>
      </c>
      <c r="M671">
        <v>60</v>
      </c>
      <c r="N671" s="1" t="str" cm="1">
        <f t="array" ref="N671">_xlfn.IFS(M671&lt;40, " Adult", M671&lt;60, "Middle Age", M671&gt;=60, "Older Adult")</f>
        <v>Older Adult</v>
      </c>
      <c r="O671" s="1" t="s">
        <v>17</v>
      </c>
      <c r="P671" s="1" t="b">
        <f>IF(O671="Yes", 1)</f>
        <v>0</v>
      </c>
      <c r="Q671" s="1"/>
    </row>
    <row r="672" spans="1:17" x14ac:dyDescent="0.25">
      <c r="A672">
        <v>11663</v>
      </c>
      <c r="B672" s="1" t="s">
        <v>31</v>
      </c>
      <c r="C672" s="1" t="s">
        <v>32</v>
      </c>
      <c r="D672" s="2">
        <v>70000</v>
      </c>
      <c r="E672" s="2" t="str">
        <f>IF(bike_buyers[[#This Row],[Income]]&lt;40000,"Under 40K", IF(bike_buyers[[#This Row],[Income]]&lt;60000,"40K-59K", IF(bike_buyers[[#This Row],[Income]]&lt;80000,"60K-79K", IF(bike_buyers[[#This Row],[Income]]&lt;100000,"80K-99K","100K+"))))</f>
        <v>60K-79K</v>
      </c>
      <c r="F672">
        <v>4</v>
      </c>
      <c r="G672" s="1" t="s">
        <v>29</v>
      </c>
      <c r="H672" s="1" t="s">
        <v>20</v>
      </c>
      <c r="I672" s="1" t="s">
        <v>14</v>
      </c>
      <c r="J672">
        <v>0</v>
      </c>
      <c r="K672" s="1" t="s">
        <v>15</v>
      </c>
      <c r="L672" s="1" t="s">
        <v>30</v>
      </c>
      <c r="M672">
        <v>36</v>
      </c>
      <c r="N672" s="1" t="str" cm="1">
        <f t="array" ref="N672">_xlfn.IFS(M672&lt;40, " Adult", M672&lt;60, "Middle Age", M672&gt;=60, "Older Adult")</f>
        <v xml:space="preserve"> Adult</v>
      </c>
      <c r="O672" s="1" t="s">
        <v>14</v>
      </c>
      <c r="P672" s="1">
        <f>IF(O672="Yes", 1)</f>
        <v>1</v>
      </c>
      <c r="Q672" s="1"/>
    </row>
    <row r="673" spans="1:17" x14ac:dyDescent="0.25">
      <c r="A673">
        <v>15292</v>
      </c>
      <c r="B673" s="1" t="s">
        <v>34</v>
      </c>
      <c r="C673" s="1" t="s">
        <v>33</v>
      </c>
      <c r="D673" s="2">
        <v>60000</v>
      </c>
      <c r="E673" s="2" t="str">
        <f>IF(bike_buyers[[#This Row],[Income]]&lt;40000,"Under 40K", IF(bike_buyers[[#This Row],[Income]]&lt;60000,"40K-59K", IF(bike_buyers[[#This Row],[Income]]&lt;80000,"60K-79K", IF(bike_buyers[[#This Row],[Income]]&lt;100000,"80K-99K","100K+"))))</f>
        <v>60K-79K</v>
      </c>
      <c r="F673">
        <v>1</v>
      </c>
      <c r="G673" s="1" t="s">
        <v>29</v>
      </c>
      <c r="H673" s="1" t="s">
        <v>13</v>
      </c>
      <c r="I673" s="1" t="s">
        <v>14</v>
      </c>
      <c r="J673">
        <v>0</v>
      </c>
      <c r="K673" s="1" t="s">
        <v>25</v>
      </c>
      <c r="L673" s="1" t="s">
        <v>30</v>
      </c>
      <c r="M673">
        <v>35</v>
      </c>
      <c r="N673" s="1" t="str" cm="1">
        <f t="array" ref="N673">_xlfn.IFS(M673&lt;40, " Adult", M673&lt;60, "Middle Age", M673&gt;=60, "Older Adult")</f>
        <v xml:space="preserve"> Adult</v>
      </c>
      <c r="O673" s="1" t="s">
        <v>17</v>
      </c>
      <c r="P673" s="1" t="b">
        <f>IF(O673="Yes", 1)</f>
        <v>0</v>
      </c>
      <c r="Q673" s="1"/>
    </row>
    <row r="674" spans="1:17" x14ac:dyDescent="0.25">
      <c r="A674">
        <v>21587</v>
      </c>
      <c r="B674" s="1" t="s">
        <v>31</v>
      </c>
      <c r="C674" s="1" t="s">
        <v>33</v>
      </c>
      <c r="D674" s="2">
        <v>60000</v>
      </c>
      <c r="E674" s="2" t="str">
        <f>IF(bike_buyers[[#This Row],[Income]]&lt;40000,"Under 40K", IF(bike_buyers[[#This Row],[Income]]&lt;60000,"40K-59K", IF(bike_buyers[[#This Row],[Income]]&lt;80000,"60K-79K", IF(bike_buyers[[#This Row],[Income]]&lt;100000,"80K-99K","100K+"))))</f>
        <v>60K-79K</v>
      </c>
      <c r="F674">
        <v>1</v>
      </c>
      <c r="G674" s="1" t="s">
        <v>29</v>
      </c>
      <c r="H674" s="1" t="s">
        <v>13</v>
      </c>
      <c r="I674" s="1" t="s">
        <v>14</v>
      </c>
      <c r="J674">
        <v>0</v>
      </c>
      <c r="K674" s="1" t="s">
        <v>21</v>
      </c>
      <c r="L674" s="1" t="s">
        <v>30</v>
      </c>
      <c r="M674">
        <v>34</v>
      </c>
      <c r="N674" s="1" t="str" cm="1">
        <f t="array" ref="N674">_xlfn.IFS(M674&lt;40, " Adult", M674&lt;60, "Middle Age", M674&gt;=60, "Older Adult")</f>
        <v xml:space="preserve"> Adult</v>
      </c>
      <c r="O674" s="1" t="s">
        <v>14</v>
      </c>
      <c r="P674" s="1">
        <f>IF(O674="Yes", 1)</f>
        <v>1</v>
      </c>
      <c r="Q674" s="1"/>
    </row>
    <row r="675" spans="1:17" x14ac:dyDescent="0.25">
      <c r="A675">
        <v>24322</v>
      </c>
      <c r="B675" s="1" t="s">
        <v>31</v>
      </c>
      <c r="C675" s="1" t="s">
        <v>33</v>
      </c>
      <c r="D675" s="2">
        <v>60000</v>
      </c>
      <c r="E675" s="2" t="str">
        <f>IF(bike_buyers[[#This Row],[Income]]&lt;40000,"Under 40K", IF(bike_buyers[[#This Row],[Income]]&lt;60000,"40K-59K", IF(bike_buyers[[#This Row],[Income]]&lt;80000,"60K-79K", IF(bike_buyers[[#This Row],[Income]]&lt;100000,"80K-99K","100K+"))))</f>
        <v>60K-79K</v>
      </c>
      <c r="F675">
        <v>4</v>
      </c>
      <c r="G675" s="1" t="s">
        <v>12</v>
      </c>
      <c r="H675" s="1" t="s">
        <v>13</v>
      </c>
      <c r="I675" s="1" t="s">
        <v>17</v>
      </c>
      <c r="J675">
        <v>2</v>
      </c>
      <c r="K675" s="1" t="s">
        <v>15</v>
      </c>
      <c r="L675" s="1" t="s">
        <v>30</v>
      </c>
      <c r="M675">
        <v>42</v>
      </c>
      <c r="N675" s="1" t="str" cm="1">
        <f t="array" ref="N675">_xlfn.IFS(M675&lt;40, " Adult", M675&lt;60, "Middle Age", M675&gt;=60, "Older Adult")</f>
        <v>Middle Age</v>
      </c>
      <c r="O675" s="1" t="s">
        <v>17</v>
      </c>
      <c r="P675" s="1" t="b">
        <f>IF(O675="Yes", 1)</f>
        <v>0</v>
      </c>
      <c r="Q675" s="1"/>
    </row>
    <row r="676" spans="1:17" x14ac:dyDescent="0.25">
      <c r="A676">
        <v>21693</v>
      </c>
      <c r="B676" s="1" t="s">
        <v>34</v>
      </c>
      <c r="C676" s="1" t="s">
        <v>33</v>
      </c>
      <c r="D676" s="2">
        <v>60000</v>
      </c>
      <c r="E676" s="2" t="str">
        <f>IF(bike_buyers[[#This Row],[Income]]&lt;40000,"Under 40K", IF(bike_buyers[[#This Row],[Income]]&lt;60000,"40K-59K", IF(bike_buyers[[#This Row],[Income]]&lt;80000,"60K-79K", IF(bike_buyers[[#This Row],[Income]]&lt;100000,"80K-99K","100K+"))))</f>
        <v>60K-79K</v>
      </c>
      <c r="F676">
        <v>0</v>
      </c>
      <c r="G676" s="1" t="s">
        <v>29</v>
      </c>
      <c r="H676" s="1" t="s">
        <v>13</v>
      </c>
      <c r="I676" s="1" t="s">
        <v>17</v>
      </c>
      <c r="J676">
        <v>0</v>
      </c>
      <c r="K676" s="1" t="s">
        <v>15</v>
      </c>
      <c r="L676" s="1" t="s">
        <v>30</v>
      </c>
      <c r="M676">
        <v>40</v>
      </c>
      <c r="N676" s="1" t="str" cm="1">
        <f t="array" ref="N676">_xlfn.IFS(M676&lt;40, " Adult", M676&lt;60, "Middle Age", M676&gt;=60, "Older Adult")</f>
        <v>Middle Age</v>
      </c>
      <c r="O676" s="1" t="s">
        <v>17</v>
      </c>
      <c r="P676" s="1" t="b">
        <f>IF(O676="Yes", 1)</f>
        <v>0</v>
      </c>
      <c r="Q676" s="1"/>
    </row>
    <row r="677" spans="1:17" x14ac:dyDescent="0.25">
      <c r="A677">
        <v>28056</v>
      </c>
      <c r="B677" s="1" t="s">
        <v>31</v>
      </c>
      <c r="C677" s="1" t="s">
        <v>32</v>
      </c>
      <c r="D677" s="2">
        <v>70000</v>
      </c>
      <c r="E677" s="2" t="str">
        <f>IF(bike_buyers[[#This Row],[Income]]&lt;40000,"Under 40K", IF(bike_buyers[[#This Row],[Income]]&lt;60000,"40K-59K", IF(bike_buyers[[#This Row],[Income]]&lt;80000,"60K-79K", IF(bike_buyers[[#This Row],[Income]]&lt;100000,"80K-99K","100K+"))))</f>
        <v>60K-79K</v>
      </c>
      <c r="F677">
        <v>2</v>
      </c>
      <c r="G677" s="1" t="s">
        <v>28</v>
      </c>
      <c r="H677" s="1" t="s">
        <v>13</v>
      </c>
      <c r="I677" s="1" t="s">
        <v>14</v>
      </c>
      <c r="J677">
        <v>2</v>
      </c>
      <c r="K677" s="1" t="s">
        <v>62</v>
      </c>
      <c r="L677" s="1" t="s">
        <v>30</v>
      </c>
      <c r="M677">
        <v>53</v>
      </c>
      <c r="N677" s="1" t="str" cm="1">
        <f t="array" ref="N677">_xlfn.IFS(M677&lt;40, " Adult", M677&lt;60, "Middle Age", M677&gt;=60, "Older Adult")</f>
        <v>Middle Age</v>
      </c>
      <c r="O677" s="1" t="s">
        <v>17</v>
      </c>
      <c r="P677" s="1" t="b">
        <f>IF(O677="Yes", 1)</f>
        <v>0</v>
      </c>
      <c r="Q677" s="1"/>
    </row>
    <row r="678" spans="1:17" x14ac:dyDescent="0.25">
      <c r="A678">
        <v>11788</v>
      </c>
      <c r="B678" s="1" t="s">
        <v>34</v>
      </c>
      <c r="C678" s="1" t="s">
        <v>33</v>
      </c>
      <c r="D678" s="2">
        <v>70000</v>
      </c>
      <c r="E678" s="2" t="str">
        <f>IF(bike_buyers[[#This Row],[Income]]&lt;40000,"Under 40K", IF(bike_buyers[[#This Row],[Income]]&lt;60000,"40K-59K", IF(bike_buyers[[#This Row],[Income]]&lt;80000,"60K-79K", IF(bike_buyers[[#This Row],[Income]]&lt;100000,"80K-99K","100K+"))))</f>
        <v>60K-79K</v>
      </c>
      <c r="F678">
        <v>1</v>
      </c>
      <c r="G678" s="1" t="s">
        <v>29</v>
      </c>
      <c r="H678" s="1" t="s">
        <v>20</v>
      </c>
      <c r="I678" s="1" t="s">
        <v>14</v>
      </c>
      <c r="J678">
        <v>0</v>
      </c>
      <c r="K678" s="1" t="s">
        <v>21</v>
      </c>
      <c r="L678" s="1" t="s">
        <v>30</v>
      </c>
      <c r="M678">
        <v>34</v>
      </c>
      <c r="N678" s="1" t="str" cm="1">
        <f t="array" ref="N678">_xlfn.IFS(M678&lt;40, " Adult", M678&lt;60, "Middle Age", M678&gt;=60, "Older Adult")</f>
        <v xml:space="preserve"> Adult</v>
      </c>
      <c r="O678" s="1" t="s">
        <v>17</v>
      </c>
      <c r="P678" s="1" t="b">
        <f>IF(O678="Yes", 1)</f>
        <v>0</v>
      </c>
      <c r="Q678" s="1"/>
    </row>
    <row r="679" spans="1:17" x14ac:dyDescent="0.25">
      <c r="A679">
        <v>22296</v>
      </c>
      <c r="B679" s="1" t="s">
        <v>31</v>
      </c>
      <c r="C679" s="1" t="s">
        <v>32</v>
      </c>
      <c r="D679" s="2">
        <v>70000</v>
      </c>
      <c r="E679" s="2" t="str">
        <f>IF(bike_buyers[[#This Row],[Income]]&lt;40000,"Under 40K", IF(bike_buyers[[#This Row],[Income]]&lt;60000,"40K-59K", IF(bike_buyers[[#This Row],[Income]]&lt;80000,"60K-79K", IF(bike_buyers[[#This Row],[Income]]&lt;100000,"80K-99K","100K+"))))</f>
        <v>60K-79K</v>
      </c>
      <c r="F679">
        <v>0</v>
      </c>
      <c r="G679" s="1" t="s">
        <v>12</v>
      </c>
      <c r="H679" s="1" t="s">
        <v>20</v>
      </c>
      <c r="I679" s="1" t="s">
        <v>17</v>
      </c>
      <c r="J679">
        <v>1</v>
      </c>
      <c r="K679" s="1" t="s">
        <v>15</v>
      </c>
      <c r="L679" s="1" t="s">
        <v>30</v>
      </c>
      <c r="M679">
        <v>38</v>
      </c>
      <c r="N679" s="1" t="str" cm="1">
        <f t="array" ref="N679">_xlfn.IFS(M679&lt;40, " Adult", M679&lt;60, "Middle Age", M679&gt;=60, "Older Adult")</f>
        <v xml:space="preserve"> Adult</v>
      </c>
      <c r="O679" s="1" t="s">
        <v>17</v>
      </c>
      <c r="P679" s="1" t="b">
        <f>IF(O679="Yes", 1)</f>
        <v>0</v>
      </c>
      <c r="Q679" s="1"/>
    </row>
    <row r="680" spans="1:17" x14ac:dyDescent="0.25">
      <c r="A680">
        <v>15319</v>
      </c>
      <c r="B680" s="1" t="s">
        <v>31</v>
      </c>
      <c r="C680" s="1" t="s">
        <v>33</v>
      </c>
      <c r="D680" s="2">
        <v>70000</v>
      </c>
      <c r="E680" s="2" t="str">
        <f>IF(bike_buyers[[#This Row],[Income]]&lt;40000,"Under 40K", IF(bike_buyers[[#This Row],[Income]]&lt;60000,"40K-59K", IF(bike_buyers[[#This Row],[Income]]&lt;80000,"60K-79K", IF(bike_buyers[[#This Row],[Income]]&lt;100000,"80K-99K","100K+"))))</f>
        <v>60K-79K</v>
      </c>
      <c r="F680">
        <v>4</v>
      </c>
      <c r="G680" s="1" t="s">
        <v>12</v>
      </c>
      <c r="H680" s="1" t="s">
        <v>27</v>
      </c>
      <c r="I680" s="1" t="s">
        <v>17</v>
      </c>
      <c r="J680">
        <v>1</v>
      </c>
      <c r="K680" s="1" t="s">
        <v>25</v>
      </c>
      <c r="L680" s="1" t="s">
        <v>30</v>
      </c>
      <c r="M680">
        <v>59</v>
      </c>
      <c r="N680" s="1" t="str" cm="1">
        <f t="array" ref="N680">_xlfn.IFS(M680&lt;40, " Adult", M680&lt;60, "Middle Age", M680&gt;=60, "Older Adult")</f>
        <v>Middle Age</v>
      </c>
      <c r="O680" s="1" t="s">
        <v>17</v>
      </c>
      <c r="P680" s="1" t="b">
        <f>IF(O680="Yes", 1)</f>
        <v>0</v>
      </c>
      <c r="Q680" s="1"/>
    </row>
    <row r="681" spans="1:17" x14ac:dyDescent="0.25">
      <c r="A681">
        <v>14662</v>
      </c>
      <c r="B681" s="1" t="s">
        <v>31</v>
      </c>
      <c r="C681" s="1" t="s">
        <v>32</v>
      </c>
      <c r="D681" s="2">
        <v>60000</v>
      </c>
      <c r="E681" s="2" t="str">
        <f>IF(bike_buyers[[#This Row],[Income]]&lt;40000,"Under 40K", IF(bike_buyers[[#This Row],[Income]]&lt;60000,"40K-59K", IF(bike_buyers[[#This Row],[Income]]&lt;80000,"60K-79K", IF(bike_buyers[[#This Row],[Income]]&lt;100000,"80K-99K","100K+"))))</f>
        <v>60K-79K</v>
      </c>
      <c r="F681">
        <v>1</v>
      </c>
      <c r="G681" s="1" t="s">
        <v>12</v>
      </c>
      <c r="H681" s="1" t="s">
        <v>20</v>
      </c>
      <c r="I681" s="1" t="s">
        <v>14</v>
      </c>
      <c r="J681">
        <v>1</v>
      </c>
      <c r="K681" s="1" t="s">
        <v>15</v>
      </c>
      <c r="L681" s="1" t="s">
        <v>30</v>
      </c>
      <c r="M681">
        <v>48</v>
      </c>
      <c r="N681" s="1" t="str" cm="1">
        <f t="array" ref="N681">_xlfn.IFS(M681&lt;40, " Adult", M681&lt;60, "Middle Age", M681&gt;=60, "Older Adult")</f>
        <v>Middle Age</v>
      </c>
      <c r="O681" s="1" t="s">
        <v>14</v>
      </c>
      <c r="P681" s="1">
        <f>IF(O681="Yes", 1)</f>
        <v>1</v>
      </c>
      <c r="Q681" s="1"/>
    </row>
    <row r="682" spans="1:17" x14ac:dyDescent="0.25">
      <c r="A682">
        <v>13886</v>
      </c>
      <c r="B682" s="1" t="s">
        <v>31</v>
      </c>
      <c r="C682" s="1" t="s">
        <v>33</v>
      </c>
      <c r="D682" s="2">
        <v>70000</v>
      </c>
      <c r="E682" s="2" t="str">
        <f>IF(bike_buyers[[#This Row],[Income]]&lt;40000,"Under 40K", IF(bike_buyers[[#This Row],[Income]]&lt;60000,"40K-59K", IF(bike_buyers[[#This Row],[Income]]&lt;80000,"60K-79K", IF(bike_buyers[[#This Row],[Income]]&lt;100000,"80K-99K","100K+"))))</f>
        <v>60K-79K</v>
      </c>
      <c r="F682">
        <v>4</v>
      </c>
      <c r="G682" s="1" t="s">
        <v>29</v>
      </c>
      <c r="H682" s="1" t="s">
        <v>20</v>
      </c>
      <c r="I682" s="1" t="s">
        <v>14</v>
      </c>
      <c r="J682">
        <v>0</v>
      </c>
      <c r="K682" s="1" t="s">
        <v>21</v>
      </c>
      <c r="L682" s="1" t="s">
        <v>30</v>
      </c>
      <c r="M682">
        <v>35</v>
      </c>
      <c r="N682" s="1" t="str" cm="1">
        <f t="array" ref="N682">_xlfn.IFS(M682&lt;40, " Adult", M682&lt;60, "Middle Age", M682&gt;=60, "Older Adult")</f>
        <v xml:space="preserve"> Adult</v>
      </c>
      <c r="O682" s="1" t="s">
        <v>14</v>
      </c>
      <c r="P682" s="1">
        <f>IF(O682="Yes", 1)</f>
        <v>1</v>
      </c>
      <c r="Q682" s="1"/>
    </row>
    <row r="683" spans="1:17" x14ac:dyDescent="0.25">
      <c r="A683">
        <v>13073</v>
      </c>
      <c r="B683" s="1" t="s">
        <v>31</v>
      </c>
      <c r="C683" s="1" t="s">
        <v>33</v>
      </c>
      <c r="D683" s="2">
        <v>60000</v>
      </c>
      <c r="E683" s="2" t="str">
        <f>IF(bike_buyers[[#This Row],[Income]]&lt;40000,"Under 40K", IF(bike_buyers[[#This Row],[Income]]&lt;60000,"40K-59K", IF(bike_buyers[[#This Row],[Income]]&lt;80000,"60K-79K", IF(bike_buyers[[#This Row],[Income]]&lt;100000,"80K-99K","100K+"))))</f>
        <v>60K-79K</v>
      </c>
      <c r="F683">
        <v>0</v>
      </c>
      <c r="G683" s="1" t="s">
        <v>18</v>
      </c>
      <c r="H683" s="1" t="s">
        <v>20</v>
      </c>
      <c r="I683" s="1" t="s">
        <v>14</v>
      </c>
      <c r="J683">
        <v>2</v>
      </c>
      <c r="K683" s="1" t="s">
        <v>22</v>
      </c>
      <c r="L683" s="1" t="s">
        <v>30</v>
      </c>
      <c r="M683">
        <v>30</v>
      </c>
      <c r="N683" s="1" t="str" cm="1">
        <f t="array" ref="N683">_xlfn.IFS(M683&lt;40, " Adult", M683&lt;60, "Middle Age", M683&gt;=60, "Older Adult")</f>
        <v xml:space="preserve"> Adult</v>
      </c>
      <c r="O683" s="1" t="s">
        <v>17</v>
      </c>
      <c r="P683" s="1" t="b">
        <f>IF(O683="Yes", 1)</f>
        <v>0</v>
      </c>
      <c r="Q683" s="1"/>
    </row>
    <row r="684" spans="1:17" x14ac:dyDescent="0.25">
      <c r="A684">
        <v>20196</v>
      </c>
      <c r="B684" s="1" t="s">
        <v>31</v>
      </c>
      <c r="C684" s="1" t="s">
        <v>32</v>
      </c>
      <c r="D684" s="2">
        <v>60000</v>
      </c>
      <c r="E684" s="2" t="str">
        <f>IF(bike_buyers[[#This Row],[Income]]&lt;40000,"Under 40K", IF(bike_buyers[[#This Row],[Income]]&lt;60000,"40K-59K", IF(bike_buyers[[#This Row],[Income]]&lt;80000,"60K-79K", IF(bike_buyers[[#This Row],[Income]]&lt;100000,"80K-99K","100K+"))))</f>
        <v>60K-79K</v>
      </c>
      <c r="F684">
        <v>1</v>
      </c>
      <c r="G684" s="1" t="s">
        <v>18</v>
      </c>
      <c r="H684" s="1" t="s">
        <v>13</v>
      </c>
      <c r="I684" s="1" t="s">
        <v>14</v>
      </c>
      <c r="J684">
        <v>1</v>
      </c>
      <c r="K684" s="1" t="s">
        <v>21</v>
      </c>
      <c r="L684" s="1" t="s">
        <v>30</v>
      </c>
      <c r="M684">
        <v>45</v>
      </c>
      <c r="N684" s="1" t="str" cm="1">
        <f t="array" ref="N684">_xlfn.IFS(M684&lt;40, " Adult", M684&lt;60, "Middle Age", M684&gt;=60, "Older Adult")</f>
        <v>Middle Age</v>
      </c>
      <c r="O684" s="1" t="s">
        <v>14</v>
      </c>
      <c r="P684" s="1">
        <f>IF(O684="Yes", 1)</f>
        <v>1</v>
      </c>
      <c r="Q684" s="1"/>
    </row>
    <row r="685" spans="1:17" x14ac:dyDescent="0.25">
      <c r="A685">
        <v>16813</v>
      </c>
      <c r="B685" s="1" t="s">
        <v>31</v>
      </c>
      <c r="C685" s="1" t="s">
        <v>32</v>
      </c>
      <c r="D685" s="2">
        <v>60000</v>
      </c>
      <c r="E685" s="2" t="str">
        <f>IF(bike_buyers[[#This Row],[Income]]&lt;40000,"Under 40K", IF(bike_buyers[[#This Row],[Income]]&lt;60000,"40K-59K", IF(bike_buyers[[#This Row],[Income]]&lt;80000,"60K-79K", IF(bike_buyers[[#This Row],[Income]]&lt;100000,"80K-99K","100K+"))))</f>
        <v>60K-79K</v>
      </c>
      <c r="F685">
        <v>2</v>
      </c>
      <c r="G685" s="1" t="s">
        <v>18</v>
      </c>
      <c r="H685" s="1" t="s">
        <v>20</v>
      </c>
      <c r="I685" s="1" t="s">
        <v>14</v>
      </c>
      <c r="J685">
        <v>2</v>
      </c>
      <c r="K685" s="1" t="s">
        <v>62</v>
      </c>
      <c r="L685" s="1" t="s">
        <v>30</v>
      </c>
      <c r="M685">
        <v>55</v>
      </c>
      <c r="N685" s="1" t="str" cm="1">
        <f t="array" ref="N685">_xlfn.IFS(M685&lt;40, " Adult", M685&lt;60, "Middle Age", M685&gt;=60, "Older Adult")</f>
        <v>Middle Age</v>
      </c>
      <c r="O685" s="1" t="s">
        <v>17</v>
      </c>
      <c r="P685" s="1" t="b">
        <f>IF(O685="Yes", 1)</f>
        <v>0</v>
      </c>
      <c r="Q685" s="1"/>
    </row>
    <row r="686" spans="1:17" x14ac:dyDescent="0.25">
      <c r="A686">
        <v>27434</v>
      </c>
      <c r="B686" s="1" t="s">
        <v>34</v>
      </c>
      <c r="C686" s="1" t="s">
        <v>32</v>
      </c>
      <c r="D686" s="2">
        <v>70000</v>
      </c>
      <c r="E686" s="2" t="str">
        <f>IF(bike_buyers[[#This Row],[Income]]&lt;40000,"Under 40K", IF(bike_buyers[[#This Row],[Income]]&lt;60000,"40K-59K", IF(bike_buyers[[#This Row],[Income]]&lt;80000,"60K-79K", IF(bike_buyers[[#This Row],[Income]]&lt;100000,"80K-99K","100K+"))))</f>
        <v>60K-79K</v>
      </c>
      <c r="F686">
        <v>4</v>
      </c>
      <c r="G686" s="1" t="s">
        <v>18</v>
      </c>
      <c r="H686" s="1" t="s">
        <v>20</v>
      </c>
      <c r="I686" s="1" t="s">
        <v>14</v>
      </c>
      <c r="J686">
        <v>1</v>
      </c>
      <c r="K686" s="1" t="s">
        <v>62</v>
      </c>
      <c r="L686" s="1" t="s">
        <v>30</v>
      </c>
      <c r="M686">
        <v>56</v>
      </c>
      <c r="N686" s="1" t="str" cm="1">
        <f t="array" ref="N686">_xlfn.IFS(M686&lt;40, " Adult", M686&lt;60, "Middle Age", M686&gt;=60, "Older Adult")</f>
        <v>Middle Age</v>
      </c>
      <c r="O686" s="1" t="s">
        <v>17</v>
      </c>
      <c r="P686" s="1" t="b">
        <f>IF(O686="Yes", 1)</f>
        <v>0</v>
      </c>
      <c r="Q686" s="1"/>
    </row>
    <row r="687" spans="1:17" x14ac:dyDescent="0.25">
      <c r="A687">
        <v>29037</v>
      </c>
      <c r="B687" s="1" t="s">
        <v>31</v>
      </c>
      <c r="C687" s="1" t="s">
        <v>32</v>
      </c>
      <c r="D687" s="2">
        <v>60000</v>
      </c>
      <c r="E687" s="2" t="str">
        <f>IF(bike_buyers[[#This Row],[Income]]&lt;40000,"Under 40K", IF(bike_buyers[[#This Row],[Income]]&lt;60000,"40K-59K", IF(bike_buyers[[#This Row],[Income]]&lt;80000,"60K-79K", IF(bike_buyers[[#This Row],[Income]]&lt;100000,"80K-99K","100K+"))))</f>
        <v>60K-79K</v>
      </c>
      <c r="F687">
        <v>0</v>
      </c>
      <c r="G687" s="1" t="s">
        <v>29</v>
      </c>
      <c r="H687" s="1" t="s">
        <v>20</v>
      </c>
      <c r="I687" s="1" t="s">
        <v>17</v>
      </c>
      <c r="J687">
        <v>0</v>
      </c>
      <c r="K687" s="1" t="s">
        <v>15</v>
      </c>
      <c r="L687" s="1" t="s">
        <v>30</v>
      </c>
      <c r="M687">
        <v>39</v>
      </c>
      <c r="N687" s="1" t="str" cm="1">
        <f t="array" ref="N687">_xlfn.IFS(M687&lt;40, " Adult", M687&lt;60, "Middle Age", M687&gt;=60, "Older Adult")</f>
        <v xml:space="preserve"> Adult</v>
      </c>
      <c r="O687" s="1" t="s">
        <v>17</v>
      </c>
      <c r="P687" s="1" t="b">
        <f>IF(O687="Yes", 1)</f>
        <v>0</v>
      </c>
      <c r="Q687" s="1"/>
    </row>
    <row r="688" spans="1:17" x14ac:dyDescent="0.25">
      <c r="A688">
        <v>26576</v>
      </c>
      <c r="B688" s="1" t="s">
        <v>31</v>
      </c>
      <c r="C688" s="1" t="s">
        <v>33</v>
      </c>
      <c r="D688" s="2">
        <v>60000</v>
      </c>
      <c r="E688" s="2" t="str">
        <f>IF(bike_buyers[[#This Row],[Income]]&lt;40000,"Under 40K", IF(bike_buyers[[#This Row],[Income]]&lt;60000,"40K-59K", IF(bike_buyers[[#This Row],[Income]]&lt;80000,"60K-79K", IF(bike_buyers[[#This Row],[Income]]&lt;100000,"80K-99K","100K+"))))</f>
        <v>60K-79K</v>
      </c>
      <c r="F688">
        <v>0</v>
      </c>
      <c r="G688" s="1" t="s">
        <v>18</v>
      </c>
      <c r="H688" s="1" t="s">
        <v>13</v>
      </c>
      <c r="I688" s="1" t="s">
        <v>14</v>
      </c>
      <c r="J688">
        <v>2</v>
      </c>
      <c r="K688" s="1" t="s">
        <v>22</v>
      </c>
      <c r="L688" s="1" t="s">
        <v>30</v>
      </c>
      <c r="M688">
        <v>31</v>
      </c>
      <c r="N688" s="1" t="str" cm="1">
        <f t="array" ref="N688">_xlfn.IFS(M688&lt;40, " Adult", M688&lt;60, "Middle Age", M688&gt;=60, "Older Adult")</f>
        <v xml:space="preserve"> Adult</v>
      </c>
      <c r="O688" s="1" t="s">
        <v>17</v>
      </c>
      <c r="P688" s="1" t="b">
        <f>IF(O688="Yes", 1)</f>
        <v>0</v>
      </c>
      <c r="Q688" s="1"/>
    </row>
    <row r="689" spans="1:17" x14ac:dyDescent="0.25">
      <c r="A689">
        <v>12192</v>
      </c>
      <c r="B689" s="1" t="s">
        <v>34</v>
      </c>
      <c r="C689" s="1" t="s">
        <v>33</v>
      </c>
      <c r="D689" s="2">
        <v>60000</v>
      </c>
      <c r="E689" s="2" t="str">
        <f>IF(bike_buyers[[#This Row],[Income]]&lt;40000,"Under 40K", IF(bike_buyers[[#This Row],[Income]]&lt;60000,"40K-59K", IF(bike_buyers[[#This Row],[Income]]&lt;80000,"60K-79K", IF(bike_buyers[[#This Row],[Income]]&lt;100000,"80K-99K","100K+"))))</f>
        <v>60K-79K</v>
      </c>
      <c r="F689">
        <v>2</v>
      </c>
      <c r="G689" s="1" t="s">
        <v>28</v>
      </c>
      <c r="H689" s="1" t="s">
        <v>13</v>
      </c>
      <c r="I689" s="1" t="s">
        <v>17</v>
      </c>
      <c r="J689">
        <v>2</v>
      </c>
      <c r="K689" s="1" t="s">
        <v>25</v>
      </c>
      <c r="L689" s="1" t="s">
        <v>30</v>
      </c>
      <c r="M689">
        <v>51</v>
      </c>
      <c r="N689" s="1" t="str" cm="1">
        <f t="array" ref="N689">_xlfn.IFS(M689&lt;40, " Adult", M689&lt;60, "Middle Age", M689&gt;=60, "Older Adult")</f>
        <v>Middle Age</v>
      </c>
      <c r="O689" s="1" t="s">
        <v>17</v>
      </c>
      <c r="P689" s="1" t="b">
        <f>IF(O689="Yes", 1)</f>
        <v>0</v>
      </c>
      <c r="Q689" s="1"/>
    </row>
    <row r="690" spans="1:17" x14ac:dyDescent="0.25">
      <c r="A690">
        <v>11734</v>
      </c>
      <c r="B690" s="1" t="s">
        <v>31</v>
      </c>
      <c r="C690" s="1" t="s">
        <v>32</v>
      </c>
      <c r="D690" s="2">
        <v>60000</v>
      </c>
      <c r="E690" s="2" t="str">
        <f>IF(bike_buyers[[#This Row],[Income]]&lt;40000,"Under 40K", IF(bike_buyers[[#This Row],[Income]]&lt;60000,"40K-59K", IF(bike_buyers[[#This Row],[Income]]&lt;80000,"60K-79K", IF(bike_buyers[[#This Row],[Income]]&lt;100000,"80K-99K","100K+"))))</f>
        <v>60K-79K</v>
      </c>
      <c r="F690">
        <v>1</v>
      </c>
      <c r="G690" s="1" t="s">
        <v>18</v>
      </c>
      <c r="H690" s="1" t="s">
        <v>13</v>
      </c>
      <c r="I690" s="1" t="s">
        <v>17</v>
      </c>
      <c r="J690">
        <v>1</v>
      </c>
      <c r="K690" s="1" t="s">
        <v>15</v>
      </c>
      <c r="L690" s="1" t="s">
        <v>30</v>
      </c>
      <c r="M690">
        <v>47</v>
      </c>
      <c r="N690" s="1" t="str" cm="1">
        <f t="array" ref="N690">_xlfn.IFS(M690&lt;40, " Adult", M690&lt;60, "Middle Age", M690&gt;=60, "Older Adult")</f>
        <v>Middle Age</v>
      </c>
      <c r="O690" s="1" t="s">
        <v>17</v>
      </c>
      <c r="P690" s="1" t="b">
        <f>IF(O690="Yes", 1)</f>
        <v>0</v>
      </c>
      <c r="Q690" s="1"/>
    </row>
    <row r="691" spans="1:17" x14ac:dyDescent="0.25">
      <c r="A691">
        <v>17462</v>
      </c>
      <c r="B691" s="1" t="s">
        <v>31</v>
      </c>
      <c r="C691" s="1" t="s">
        <v>32</v>
      </c>
      <c r="D691" s="2">
        <v>70000</v>
      </c>
      <c r="E691" s="2" t="str">
        <f>IF(bike_buyers[[#This Row],[Income]]&lt;40000,"Under 40K", IF(bike_buyers[[#This Row],[Income]]&lt;60000,"40K-59K", IF(bike_buyers[[#This Row],[Income]]&lt;80000,"60K-79K", IF(bike_buyers[[#This Row],[Income]]&lt;100000,"80K-99K","100K+"))))</f>
        <v>60K-79K</v>
      </c>
      <c r="F691">
        <v>3</v>
      </c>
      <c r="G691" s="1" t="s">
        <v>29</v>
      </c>
      <c r="H691" s="1" t="s">
        <v>27</v>
      </c>
      <c r="I691" s="1" t="s">
        <v>14</v>
      </c>
      <c r="J691">
        <v>2</v>
      </c>
      <c r="K691" s="1" t="s">
        <v>22</v>
      </c>
      <c r="L691" s="1" t="s">
        <v>30</v>
      </c>
      <c r="M691">
        <v>53</v>
      </c>
      <c r="N691" s="1" t="str" cm="1">
        <f t="array" ref="N691">_xlfn.IFS(M691&lt;40, " Adult", M691&lt;60, "Middle Age", M691&gt;=60, "Older Adult")</f>
        <v>Middle Age</v>
      </c>
      <c r="O691" s="1" t="s">
        <v>14</v>
      </c>
      <c r="P691" s="1">
        <f>IF(O691="Yes", 1)</f>
        <v>1</v>
      </c>
      <c r="Q691" s="1"/>
    </row>
    <row r="692" spans="1:17" x14ac:dyDescent="0.25">
      <c r="A692">
        <v>20659</v>
      </c>
      <c r="B692" s="1" t="s">
        <v>31</v>
      </c>
      <c r="C692" s="1" t="s">
        <v>32</v>
      </c>
      <c r="D692" s="2">
        <v>70000</v>
      </c>
      <c r="E692" s="2" t="str">
        <f>IF(bike_buyers[[#This Row],[Income]]&lt;40000,"Under 40K", IF(bike_buyers[[#This Row],[Income]]&lt;60000,"40K-59K", IF(bike_buyers[[#This Row],[Income]]&lt;80000,"60K-79K", IF(bike_buyers[[#This Row],[Income]]&lt;100000,"80K-99K","100K+"))))</f>
        <v>60K-79K</v>
      </c>
      <c r="F692">
        <v>3</v>
      </c>
      <c r="G692" s="1" t="s">
        <v>29</v>
      </c>
      <c r="H692" s="1" t="s">
        <v>20</v>
      </c>
      <c r="I692" s="1" t="s">
        <v>14</v>
      </c>
      <c r="J692">
        <v>0</v>
      </c>
      <c r="K692" s="1" t="s">
        <v>15</v>
      </c>
      <c r="L692" s="1" t="s">
        <v>30</v>
      </c>
      <c r="M692">
        <v>35</v>
      </c>
      <c r="N692" s="1" t="str" cm="1">
        <f t="array" ref="N692">_xlfn.IFS(M692&lt;40, " Adult", M692&lt;60, "Middle Age", M692&gt;=60, "Older Adult")</f>
        <v xml:space="preserve"> Adult</v>
      </c>
      <c r="O692" s="1" t="s">
        <v>14</v>
      </c>
      <c r="P692" s="1">
        <f>IF(O692="Yes", 1)</f>
        <v>1</v>
      </c>
      <c r="Q692" s="1"/>
    </row>
    <row r="693" spans="1:17" x14ac:dyDescent="0.25">
      <c r="A693">
        <v>28004</v>
      </c>
      <c r="B693" s="1" t="s">
        <v>31</v>
      </c>
      <c r="C693" s="1" t="s">
        <v>33</v>
      </c>
      <c r="D693" s="2">
        <v>60000</v>
      </c>
      <c r="E693" s="2" t="str">
        <f>IF(bike_buyers[[#This Row],[Income]]&lt;40000,"Under 40K", IF(bike_buyers[[#This Row],[Income]]&lt;60000,"40K-59K", IF(bike_buyers[[#This Row],[Income]]&lt;80000,"60K-79K", IF(bike_buyers[[#This Row],[Income]]&lt;100000,"80K-99K","100K+"))))</f>
        <v>60K-79K</v>
      </c>
      <c r="F693">
        <v>3</v>
      </c>
      <c r="G693" s="1" t="s">
        <v>12</v>
      </c>
      <c r="H693" s="1" t="s">
        <v>27</v>
      </c>
      <c r="I693" s="1" t="s">
        <v>14</v>
      </c>
      <c r="J693">
        <v>2</v>
      </c>
      <c r="K693" s="1" t="s">
        <v>62</v>
      </c>
      <c r="L693" s="1" t="s">
        <v>30</v>
      </c>
      <c r="M693">
        <v>66</v>
      </c>
      <c r="N693" s="1" t="str" cm="1">
        <f t="array" ref="N693">_xlfn.IFS(M693&lt;40, " Adult", M693&lt;60, "Middle Age", M693&gt;=60, "Older Adult")</f>
        <v>Older Adult</v>
      </c>
      <c r="O693" s="1" t="s">
        <v>17</v>
      </c>
      <c r="P693" s="1" t="b">
        <f>IF(O693="Yes", 1)</f>
        <v>0</v>
      </c>
      <c r="Q693" s="1"/>
    </row>
    <row r="694" spans="1:17" x14ac:dyDescent="0.25">
      <c r="A694">
        <v>25148</v>
      </c>
      <c r="B694" s="1" t="s">
        <v>31</v>
      </c>
      <c r="C694" s="1" t="s">
        <v>32</v>
      </c>
      <c r="D694" s="2">
        <v>60000</v>
      </c>
      <c r="E694" s="2" t="str">
        <f>IF(bike_buyers[[#This Row],[Income]]&lt;40000,"Under 40K", IF(bike_buyers[[#This Row],[Income]]&lt;60000,"40K-59K", IF(bike_buyers[[#This Row],[Income]]&lt;80000,"60K-79K", IF(bike_buyers[[#This Row],[Income]]&lt;100000,"80K-99K","100K+"))))</f>
        <v>60K-79K</v>
      </c>
      <c r="F694">
        <v>2</v>
      </c>
      <c r="G694" s="1" t="s">
        <v>26</v>
      </c>
      <c r="H694" s="1" t="s">
        <v>20</v>
      </c>
      <c r="I694" s="1" t="s">
        <v>17</v>
      </c>
      <c r="J694">
        <v>2</v>
      </c>
      <c r="K694" s="1" t="s">
        <v>25</v>
      </c>
      <c r="L694" s="1" t="s">
        <v>30</v>
      </c>
      <c r="M694">
        <v>48</v>
      </c>
      <c r="N694" s="1" t="str" cm="1">
        <f t="array" ref="N694">_xlfn.IFS(M694&lt;40, " Adult", M694&lt;60, "Middle Age", M694&gt;=60, "Older Adult")</f>
        <v>Middle Age</v>
      </c>
      <c r="O694" s="1" t="s">
        <v>14</v>
      </c>
      <c r="P694" s="1">
        <f>IF(O694="Yes", 1)</f>
        <v>1</v>
      </c>
      <c r="Q694" s="1"/>
    </row>
    <row r="695" spans="1:17" x14ac:dyDescent="0.25">
      <c r="A695">
        <v>28972</v>
      </c>
      <c r="B695" s="1" t="s">
        <v>34</v>
      </c>
      <c r="C695" s="1" t="s">
        <v>33</v>
      </c>
      <c r="D695" s="2">
        <v>60000</v>
      </c>
      <c r="E695" s="2" t="str">
        <f>IF(bike_buyers[[#This Row],[Income]]&lt;40000,"Under 40K", IF(bike_buyers[[#This Row],[Income]]&lt;60000,"40K-59K", IF(bike_buyers[[#This Row],[Income]]&lt;80000,"60K-79K", IF(bike_buyers[[#This Row],[Income]]&lt;100000,"80K-99K","100K+"))))</f>
        <v>60K-79K</v>
      </c>
      <c r="F695">
        <v>3</v>
      </c>
      <c r="G695" s="1" t="s">
        <v>29</v>
      </c>
      <c r="H695" s="1" t="s">
        <v>27</v>
      </c>
      <c r="I695" s="1" t="s">
        <v>14</v>
      </c>
      <c r="J695">
        <v>2</v>
      </c>
      <c r="K695" s="1" t="s">
        <v>62</v>
      </c>
      <c r="L695" s="1" t="s">
        <v>30</v>
      </c>
      <c r="M695">
        <v>66</v>
      </c>
      <c r="N695" s="1" t="str" cm="1">
        <f t="array" ref="N695">_xlfn.IFS(M695&lt;40, " Adult", M695&lt;60, "Middle Age", M695&gt;=60, "Older Adult")</f>
        <v>Older Adult</v>
      </c>
      <c r="O695" s="1" t="s">
        <v>17</v>
      </c>
      <c r="P695" s="1" t="b">
        <f>IF(O695="Yes", 1)</f>
        <v>0</v>
      </c>
      <c r="Q695" s="1"/>
    </row>
    <row r="696" spans="1:17" x14ac:dyDescent="0.25">
      <c r="A696">
        <v>22730</v>
      </c>
      <c r="B696" s="1" t="s">
        <v>31</v>
      </c>
      <c r="C696" s="1" t="s">
        <v>32</v>
      </c>
      <c r="D696" s="2">
        <v>70000</v>
      </c>
      <c r="E696" s="2" t="str">
        <f>IF(bike_buyers[[#This Row],[Income]]&lt;40000,"Under 40K", IF(bike_buyers[[#This Row],[Income]]&lt;60000,"40K-59K", IF(bike_buyers[[#This Row],[Income]]&lt;80000,"60K-79K", IF(bike_buyers[[#This Row],[Income]]&lt;100000,"80K-99K","100K+"))))</f>
        <v>60K-79K</v>
      </c>
      <c r="F696">
        <v>5</v>
      </c>
      <c r="G696" s="1" t="s">
        <v>12</v>
      </c>
      <c r="H696" s="1" t="s">
        <v>27</v>
      </c>
      <c r="I696" s="1" t="s">
        <v>14</v>
      </c>
      <c r="J696">
        <v>2</v>
      </c>
      <c r="K696" s="1" t="s">
        <v>62</v>
      </c>
      <c r="L696" s="1" t="s">
        <v>30</v>
      </c>
      <c r="M696">
        <v>63</v>
      </c>
      <c r="N696" s="1" t="str" cm="1">
        <f t="array" ref="N696">_xlfn.IFS(M696&lt;40, " Adult", M696&lt;60, "Middle Age", M696&gt;=60, "Older Adult")</f>
        <v>Older Adult</v>
      </c>
      <c r="O696" s="1" t="s">
        <v>17</v>
      </c>
      <c r="P696" s="1" t="b">
        <f>IF(O696="Yes", 1)</f>
        <v>0</v>
      </c>
      <c r="Q696" s="1"/>
    </row>
    <row r="697" spans="1:17" x14ac:dyDescent="0.25">
      <c r="A697">
        <v>29134</v>
      </c>
      <c r="B697" s="1" t="s">
        <v>31</v>
      </c>
      <c r="C697" s="1" t="s">
        <v>32</v>
      </c>
      <c r="D697" s="2">
        <v>60000</v>
      </c>
      <c r="E697" s="2" t="str">
        <f>IF(bike_buyers[[#This Row],[Income]]&lt;40000,"Under 40K", IF(bike_buyers[[#This Row],[Income]]&lt;60000,"40K-59K", IF(bike_buyers[[#This Row],[Income]]&lt;80000,"60K-79K", IF(bike_buyers[[#This Row],[Income]]&lt;100000,"80K-99K","100K+"))))</f>
        <v>60K-79K</v>
      </c>
      <c r="F697">
        <v>4</v>
      </c>
      <c r="G697" s="1" t="s">
        <v>12</v>
      </c>
      <c r="H697" s="1" t="s">
        <v>13</v>
      </c>
      <c r="I697" s="1" t="s">
        <v>17</v>
      </c>
      <c r="J697">
        <v>3</v>
      </c>
      <c r="K697" s="1" t="s">
        <v>62</v>
      </c>
      <c r="L697" s="1" t="s">
        <v>30</v>
      </c>
      <c r="M697">
        <v>42</v>
      </c>
      <c r="N697" s="1" t="str" cm="1">
        <f t="array" ref="N697">_xlfn.IFS(M697&lt;40, " Adult", M697&lt;60, "Middle Age", M697&gt;=60, "Older Adult")</f>
        <v>Middle Age</v>
      </c>
      <c r="O697" s="1" t="s">
        <v>17</v>
      </c>
      <c r="P697" s="1" t="b">
        <f>IF(O697="Yes", 1)</f>
        <v>0</v>
      </c>
      <c r="Q697" s="1"/>
    </row>
    <row r="698" spans="1:17" x14ac:dyDescent="0.25">
      <c r="A698">
        <v>19117</v>
      </c>
      <c r="B698" s="1" t="s">
        <v>34</v>
      </c>
      <c r="C698" s="1" t="s">
        <v>33</v>
      </c>
      <c r="D698" s="2">
        <v>60000</v>
      </c>
      <c r="E698" s="2" t="str">
        <f>IF(bike_buyers[[#This Row],[Income]]&lt;40000,"Under 40K", IF(bike_buyers[[#This Row],[Income]]&lt;60000,"40K-59K", IF(bike_buyers[[#This Row],[Income]]&lt;80000,"60K-79K", IF(bike_buyers[[#This Row],[Income]]&lt;100000,"80K-99K","100K+"))))</f>
        <v>60K-79K</v>
      </c>
      <c r="F698">
        <v>1</v>
      </c>
      <c r="G698" s="1" t="s">
        <v>29</v>
      </c>
      <c r="H698" s="1" t="s">
        <v>20</v>
      </c>
      <c r="I698" s="1" t="s">
        <v>14</v>
      </c>
      <c r="J698">
        <v>0</v>
      </c>
      <c r="K698" s="1" t="s">
        <v>21</v>
      </c>
      <c r="L698" s="1" t="s">
        <v>30</v>
      </c>
      <c r="M698">
        <v>36</v>
      </c>
      <c r="N698" s="1" t="str" cm="1">
        <f t="array" ref="N698">_xlfn.IFS(M698&lt;40, " Adult", M698&lt;60, "Middle Age", M698&gt;=60, "Older Adult")</f>
        <v xml:space="preserve"> Adult</v>
      </c>
      <c r="O698" s="1" t="s">
        <v>14</v>
      </c>
      <c r="P698" s="1">
        <f>IF(O698="Yes", 1)</f>
        <v>1</v>
      </c>
      <c r="Q698" s="1"/>
    </row>
    <row r="699" spans="1:17" x14ac:dyDescent="0.25">
      <c r="A699">
        <v>23731</v>
      </c>
      <c r="B699" s="1" t="s">
        <v>31</v>
      </c>
      <c r="C699" s="1" t="s">
        <v>32</v>
      </c>
      <c r="D699" s="2">
        <v>60000</v>
      </c>
      <c r="E699" s="2" t="str">
        <f>IF(bike_buyers[[#This Row],[Income]]&lt;40000,"Under 40K", IF(bike_buyers[[#This Row],[Income]]&lt;60000,"40K-59K", IF(bike_buyers[[#This Row],[Income]]&lt;80000,"60K-79K", IF(bike_buyers[[#This Row],[Income]]&lt;100000,"80K-99K","100K+"))))</f>
        <v>60K-79K</v>
      </c>
      <c r="F699">
        <v>2</v>
      </c>
      <c r="G699" s="1" t="s">
        <v>26</v>
      </c>
      <c r="H699" s="1" t="s">
        <v>20</v>
      </c>
      <c r="I699" s="1" t="s">
        <v>14</v>
      </c>
      <c r="J699">
        <v>2</v>
      </c>
      <c r="K699" s="1" t="s">
        <v>21</v>
      </c>
      <c r="L699" s="1" t="s">
        <v>30</v>
      </c>
      <c r="M699">
        <v>54</v>
      </c>
      <c r="N699" s="1" t="str" cm="1">
        <f t="array" ref="N699">_xlfn.IFS(M699&lt;40, " Adult", M699&lt;60, "Middle Age", M699&gt;=60, "Older Adult")</f>
        <v>Middle Age</v>
      </c>
      <c r="O699" s="1" t="s">
        <v>14</v>
      </c>
      <c r="P699" s="1">
        <f>IF(O699="Yes", 1)</f>
        <v>1</v>
      </c>
      <c r="Q699" s="1"/>
    </row>
    <row r="700" spans="1:17" x14ac:dyDescent="0.25">
      <c r="A700">
        <v>28672</v>
      </c>
      <c r="B700" s="1" t="s">
        <v>34</v>
      </c>
      <c r="C700" s="1" t="s">
        <v>32</v>
      </c>
      <c r="D700" s="2">
        <v>70000</v>
      </c>
      <c r="E700" s="2" t="str">
        <f>IF(bike_buyers[[#This Row],[Income]]&lt;40000,"Under 40K", IF(bike_buyers[[#This Row],[Income]]&lt;60000,"40K-59K", IF(bike_buyers[[#This Row],[Income]]&lt;80000,"60K-79K", IF(bike_buyers[[#This Row],[Income]]&lt;100000,"80K-99K","100K+"))))</f>
        <v>60K-79K</v>
      </c>
      <c r="F700">
        <v>4</v>
      </c>
      <c r="G700" s="1" t="s">
        <v>29</v>
      </c>
      <c r="H700" s="1" t="s">
        <v>20</v>
      </c>
      <c r="I700" s="1" t="s">
        <v>14</v>
      </c>
      <c r="J700">
        <v>0</v>
      </c>
      <c r="K700" s="1" t="s">
        <v>21</v>
      </c>
      <c r="L700" s="1" t="s">
        <v>30</v>
      </c>
      <c r="M700">
        <v>35</v>
      </c>
      <c r="N700" s="1" t="str" cm="1">
        <f t="array" ref="N700">_xlfn.IFS(M700&lt;40, " Adult", M700&lt;60, "Middle Age", M700&gt;=60, "Older Adult")</f>
        <v xml:space="preserve"> Adult</v>
      </c>
      <c r="O700" s="1" t="s">
        <v>14</v>
      </c>
      <c r="P700" s="1">
        <f>IF(O700="Yes", 1)</f>
        <v>1</v>
      </c>
      <c r="Q700" s="1"/>
    </row>
    <row r="701" spans="1:17" x14ac:dyDescent="0.25">
      <c r="A701">
        <v>11809</v>
      </c>
      <c r="B701" s="1" t="s">
        <v>31</v>
      </c>
      <c r="C701" s="1" t="s">
        <v>32</v>
      </c>
      <c r="D701" s="2">
        <v>60000</v>
      </c>
      <c r="E701" s="2" t="str">
        <f>IF(bike_buyers[[#This Row],[Income]]&lt;40000,"Under 40K", IF(bike_buyers[[#This Row],[Income]]&lt;60000,"40K-59K", IF(bike_buyers[[#This Row],[Income]]&lt;80000,"60K-79K", IF(bike_buyers[[#This Row],[Income]]&lt;100000,"80K-99K","100K+"))))</f>
        <v>60K-79K</v>
      </c>
      <c r="F701">
        <v>2</v>
      </c>
      <c r="G701" s="1" t="s">
        <v>12</v>
      </c>
      <c r="H701" s="1" t="s">
        <v>13</v>
      </c>
      <c r="I701" s="1" t="s">
        <v>14</v>
      </c>
      <c r="J701">
        <v>0</v>
      </c>
      <c r="K701" s="1" t="s">
        <v>15</v>
      </c>
      <c r="L701" s="1" t="s">
        <v>30</v>
      </c>
      <c r="M701">
        <v>38</v>
      </c>
      <c r="N701" s="1" t="str" cm="1">
        <f t="array" ref="N701">_xlfn.IFS(M701&lt;40, " Adult", M701&lt;60, "Middle Age", M701&gt;=60, "Older Adult")</f>
        <v xml:space="preserve"> Adult</v>
      </c>
      <c r="O701" s="1" t="s">
        <v>14</v>
      </c>
      <c r="P701" s="1">
        <f>IF(O701="Yes", 1)</f>
        <v>1</v>
      </c>
      <c r="Q701" s="1"/>
    </row>
    <row r="702" spans="1:17" x14ac:dyDescent="0.25">
      <c r="A702">
        <v>12121</v>
      </c>
      <c r="B702" s="1" t="s">
        <v>34</v>
      </c>
      <c r="C702" s="1" t="s">
        <v>32</v>
      </c>
      <c r="D702" s="2">
        <v>60000</v>
      </c>
      <c r="E702" s="2" t="str">
        <f>IF(bike_buyers[[#This Row],[Income]]&lt;40000,"Under 40K", IF(bike_buyers[[#This Row],[Income]]&lt;60000,"40K-59K", IF(bike_buyers[[#This Row],[Income]]&lt;80000,"60K-79K", IF(bike_buyers[[#This Row],[Income]]&lt;100000,"80K-99K","100K+"))))</f>
        <v>60K-79K</v>
      </c>
      <c r="F702">
        <v>3</v>
      </c>
      <c r="G702" s="1" t="s">
        <v>26</v>
      </c>
      <c r="H702" s="1" t="s">
        <v>20</v>
      </c>
      <c r="I702" s="1" t="s">
        <v>14</v>
      </c>
      <c r="J702">
        <v>2</v>
      </c>
      <c r="K702" s="1" t="s">
        <v>62</v>
      </c>
      <c r="L702" s="1" t="s">
        <v>30</v>
      </c>
      <c r="M702">
        <v>53</v>
      </c>
      <c r="N702" s="1" t="str" cm="1">
        <f t="array" ref="N702">_xlfn.IFS(M702&lt;40, " Adult", M702&lt;60, "Middle Age", M702&gt;=60, "Older Adult")</f>
        <v>Middle Age</v>
      </c>
      <c r="O702" s="1" t="s">
        <v>14</v>
      </c>
      <c r="P702" s="1">
        <f>IF(O702="Yes", 1)</f>
        <v>1</v>
      </c>
    </row>
    <row r="703" spans="1:17" x14ac:dyDescent="0.25">
      <c r="A703">
        <v>12496</v>
      </c>
      <c r="B703" s="1" t="s">
        <v>31</v>
      </c>
      <c r="C703" s="1" t="s">
        <v>33</v>
      </c>
      <c r="D703" s="2">
        <v>40000</v>
      </c>
      <c r="E703" t="str">
        <f>IF(bike_buyers[[#This Row],[Income]]&lt;40000,"Under 40K", IF(bike_buyers[[#This Row],[Income]]&lt;60000,"40K-59K", IF(bike_buyers[[#This Row],[Income]]&lt;80000,"60K-79K", IF(bike_buyers[[#This Row],[Income]]&lt;100000,"80K-99K","100K+"))))</f>
        <v>40K-59K</v>
      </c>
      <c r="F703">
        <v>1</v>
      </c>
      <c r="G703" s="1" t="s">
        <v>12</v>
      </c>
      <c r="H703" s="1" t="s">
        <v>13</v>
      </c>
      <c r="I703" s="1" t="s">
        <v>14</v>
      </c>
      <c r="J703">
        <v>0</v>
      </c>
      <c r="K703" s="1" t="s">
        <v>15</v>
      </c>
      <c r="L703" s="1" t="s">
        <v>16</v>
      </c>
      <c r="M703">
        <v>42</v>
      </c>
      <c r="N703" s="1" t="str" cm="1">
        <f t="array" ref="N703">_xlfn.IFS(M703&lt;40, " Adult", M703&lt;60, "Middle Age", M703&gt;=60, "Older Adult")</f>
        <v>Middle Age</v>
      </c>
      <c r="O703" s="1" t="s">
        <v>17</v>
      </c>
      <c r="P703" s="1" t="b">
        <f>IF(O703="Yes", 1)</f>
        <v>0</v>
      </c>
      <c r="Q703" s="1"/>
    </row>
    <row r="704" spans="1:17" x14ac:dyDescent="0.25">
      <c r="A704">
        <v>19364</v>
      </c>
      <c r="B704" s="1" t="s">
        <v>31</v>
      </c>
      <c r="C704" s="1" t="s">
        <v>32</v>
      </c>
      <c r="D704" s="2">
        <v>40000</v>
      </c>
      <c r="E704" s="2" t="str">
        <f>IF(bike_buyers[[#This Row],[Income]]&lt;40000,"Under 40K", IF(bike_buyers[[#This Row],[Income]]&lt;60000,"40K-59K", IF(bike_buyers[[#This Row],[Income]]&lt;80000,"60K-79K", IF(bike_buyers[[#This Row],[Income]]&lt;100000,"80K-99K","100K+"))))</f>
        <v>40K-59K</v>
      </c>
      <c r="F704">
        <v>1</v>
      </c>
      <c r="G704" s="1" t="s">
        <v>12</v>
      </c>
      <c r="H704" s="1" t="s">
        <v>13</v>
      </c>
      <c r="I704" s="1" t="s">
        <v>14</v>
      </c>
      <c r="J704">
        <v>0</v>
      </c>
      <c r="K704" s="1" t="s">
        <v>15</v>
      </c>
      <c r="L704" s="1" t="s">
        <v>16</v>
      </c>
      <c r="M704">
        <v>43</v>
      </c>
      <c r="N704" s="1" t="str" cm="1">
        <f t="array" ref="N704">_xlfn.IFS(M704&lt;40, " Adult", M704&lt;60, "Middle Age", M704&gt;=60, "Older Adult")</f>
        <v>Middle Age</v>
      </c>
      <c r="O704" s="1" t="s">
        <v>14</v>
      </c>
      <c r="P704" s="1">
        <f>IF(O704="Yes", 1)</f>
        <v>1</v>
      </c>
      <c r="Q704" s="1"/>
    </row>
    <row r="705" spans="1:17" x14ac:dyDescent="0.25">
      <c r="A705">
        <v>25323</v>
      </c>
      <c r="B705" s="1" t="s">
        <v>31</v>
      </c>
      <c r="C705" s="1" t="s">
        <v>32</v>
      </c>
      <c r="D705" s="2">
        <v>40000</v>
      </c>
      <c r="E705" s="2" t="str">
        <f>IF(bike_buyers[[#This Row],[Income]]&lt;40000,"Under 40K", IF(bike_buyers[[#This Row],[Income]]&lt;60000,"40K-59K", IF(bike_buyers[[#This Row],[Income]]&lt;80000,"60K-79K", IF(bike_buyers[[#This Row],[Income]]&lt;100000,"80K-99K","100K+"))))</f>
        <v>40K-59K</v>
      </c>
      <c r="F705">
        <v>2</v>
      </c>
      <c r="G705" s="1" t="s">
        <v>18</v>
      </c>
      <c r="H705" s="1" t="s">
        <v>19</v>
      </c>
      <c r="I705" s="1" t="s">
        <v>14</v>
      </c>
      <c r="J705">
        <v>1</v>
      </c>
      <c r="K705" s="1" t="s">
        <v>25</v>
      </c>
      <c r="L705" s="1" t="s">
        <v>16</v>
      </c>
      <c r="M705">
        <v>35</v>
      </c>
      <c r="N705" s="1" t="str" cm="1">
        <f t="array" ref="N705">_xlfn.IFS(M705&lt;40, " Adult", M705&lt;60, "Middle Age", M705&gt;=60, "Older Adult")</f>
        <v xml:space="preserve"> Adult</v>
      </c>
      <c r="O705" s="1" t="s">
        <v>14</v>
      </c>
      <c r="P705" s="1">
        <f>IF(O705="Yes", 1)</f>
        <v>1</v>
      </c>
      <c r="Q705" s="1"/>
    </row>
    <row r="706" spans="1:17" x14ac:dyDescent="0.25">
      <c r="A706">
        <v>27183</v>
      </c>
      <c r="B706" s="1" t="s">
        <v>34</v>
      </c>
      <c r="C706" s="1" t="s">
        <v>32</v>
      </c>
      <c r="D706" s="2">
        <v>40000</v>
      </c>
      <c r="E706" s="2" t="str">
        <f>IF(bike_buyers[[#This Row],[Income]]&lt;40000,"Under 40K", IF(bike_buyers[[#This Row],[Income]]&lt;60000,"40K-59K", IF(bike_buyers[[#This Row],[Income]]&lt;80000,"60K-79K", IF(bike_buyers[[#This Row],[Income]]&lt;100000,"80K-99K","100K+"))))</f>
        <v>40K-59K</v>
      </c>
      <c r="F706">
        <v>2</v>
      </c>
      <c r="G706" s="1" t="s">
        <v>18</v>
      </c>
      <c r="H706" s="1" t="s">
        <v>19</v>
      </c>
      <c r="I706" s="1" t="s">
        <v>14</v>
      </c>
      <c r="J706">
        <v>1</v>
      </c>
      <c r="K706" s="1" t="s">
        <v>25</v>
      </c>
      <c r="L706" s="1" t="s">
        <v>16</v>
      </c>
      <c r="M706">
        <v>35</v>
      </c>
      <c r="N706" s="1" t="str" cm="1">
        <f t="array" ref="N706">_xlfn.IFS(M706&lt;40, " Adult", M706&lt;60, "Middle Age", M706&gt;=60, "Older Adult")</f>
        <v xml:space="preserve"> Adult</v>
      </c>
      <c r="O706" s="1" t="s">
        <v>14</v>
      </c>
      <c r="P706" s="1">
        <f>IF(O706="Yes", 1)</f>
        <v>1</v>
      </c>
      <c r="Q706" s="1"/>
    </row>
    <row r="707" spans="1:17" x14ac:dyDescent="0.25">
      <c r="A707">
        <v>25598</v>
      </c>
      <c r="B707" s="1" t="s">
        <v>31</v>
      </c>
      <c r="C707" s="1" t="s">
        <v>33</v>
      </c>
      <c r="D707" s="2">
        <v>40000</v>
      </c>
      <c r="E707" s="2" t="str">
        <f>IF(bike_buyers[[#This Row],[Income]]&lt;40000,"Under 40K", IF(bike_buyers[[#This Row],[Income]]&lt;60000,"40K-59K", IF(bike_buyers[[#This Row],[Income]]&lt;80000,"60K-79K", IF(bike_buyers[[#This Row],[Income]]&lt;100000,"80K-99K","100K+"))))</f>
        <v>40K-59K</v>
      </c>
      <c r="F707">
        <v>0</v>
      </c>
      <c r="G707" s="1" t="s">
        <v>29</v>
      </c>
      <c r="H707" s="1" t="s">
        <v>19</v>
      </c>
      <c r="I707" s="1" t="s">
        <v>14</v>
      </c>
      <c r="J707">
        <v>0</v>
      </c>
      <c r="K707" s="1" t="s">
        <v>15</v>
      </c>
      <c r="L707" s="1" t="s">
        <v>16</v>
      </c>
      <c r="M707">
        <v>36</v>
      </c>
      <c r="N707" s="1" t="str" cm="1">
        <f t="array" ref="N707">_xlfn.IFS(M707&lt;40, " Adult", M707&lt;60, "Middle Age", M707&gt;=60, "Older Adult")</f>
        <v xml:space="preserve"> Adult</v>
      </c>
      <c r="O707" s="1" t="s">
        <v>14</v>
      </c>
      <c r="P707" s="1">
        <f>IF(O707="Yes", 1)</f>
        <v>1</v>
      </c>
      <c r="Q707" s="1"/>
    </row>
    <row r="708" spans="1:17" x14ac:dyDescent="0.25">
      <c r="A708">
        <v>19193</v>
      </c>
      <c r="B708" s="1" t="s">
        <v>34</v>
      </c>
      <c r="C708" s="1" t="s">
        <v>32</v>
      </c>
      <c r="D708" s="2">
        <v>40000</v>
      </c>
      <c r="E708" s="2" t="str">
        <f>IF(bike_buyers[[#This Row],[Income]]&lt;40000,"Under 40K", IF(bike_buyers[[#This Row],[Income]]&lt;60000,"40K-59K", IF(bike_buyers[[#This Row],[Income]]&lt;80000,"60K-79K", IF(bike_buyers[[#This Row],[Income]]&lt;100000,"80K-99K","100K+"))))</f>
        <v>40K-59K</v>
      </c>
      <c r="F708">
        <v>2</v>
      </c>
      <c r="G708" s="1" t="s">
        <v>18</v>
      </c>
      <c r="H708" s="1" t="s">
        <v>19</v>
      </c>
      <c r="I708" s="1" t="s">
        <v>14</v>
      </c>
      <c r="J708">
        <v>0</v>
      </c>
      <c r="K708" s="1" t="s">
        <v>25</v>
      </c>
      <c r="L708" s="1" t="s">
        <v>16</v>
      </c>
      <c r="M708">
        <v>35</v>
      </c>
      <c r="N708" s="1" t="str" cm="1">
        <f t="array" ref="N708">_xlfn.IFS(M708&lt;40, " Adult", M708&lt;60, "Middle Age", M708&gt;=60, "Older Adult")</f>
        <v xml:space="preserve"> Adult</v>
      </c>
      <c r="O708" s="1" t="s">
        <v>14</v>
      </c>
      <c r="P708" s="1">
        <f>IF(O708="Yes", 1)</f>
        <v>1</v>
      </c>
      <c r="Q708" s="1"/>
    </row>
    <row r="709" spans="1:17" x14ac:dyDescent="0.25">
      <c r="A709">
        <v>27184</v>
      </c>
      <c r="B709" s="1" t="s">
        <v>34</v>
      </c>
      <c r="C709" s="1" t="s">
        <v>32</v>
      </c>
      <c r="D709" s="2">
        <v>40000</v>
      </c>
      <c r="E709" s="2" t="str">
        <f>IF(bike_buyers[[#This Row],[Income]]&lt;40000,"Under 40K", IF(bike_buyers[[#This Row],[Income]]&lt;60000,"40K-59K", IF(bike_buyers[[#This Row],[Income]]&lt;80000,"60K-79K", IF(bike_buyers[[#This Row],[Income]]&lt;100000,"80K-99K","100K+"))))</f>
        <v>40K-59K</v>
      </c>
      <c r="F709">
        <v>2</v>
      </c>
      <c r="G709" s="1" t="s">
        <v>18</v>
      </c>
      <c r="H709" s="1" t="s">
        <v>19</v>
      </c>
      <c r="I709" s="1" t="s">
        <v>17</v>
      </c>
      <c r="J709">
        <v>1</v>
      </c>
      <c r="K709" s="1" t="s">
        <v>15</v>
      </c>
      <c r="L709" s="1" t="s">
        <v>16</v>
      </c>
      <c r="M709">
        <v>34</v>
      </c>
      <c r="N709" s="1" t="str" cm="1">
        <f t="array" ref="N709">_xlfn.IFS(M709&lt;40, " Adult", M709&lt;60, "Middle Age", M709&gt;=60, "Older Adult")</f>
        <v xml:space="preserve"> Adult</v>
      </c>
      <c r="O709" s="1" t="s">
        <v>17</v>
      </c>
      <c r="P709" s="1" t="b">
        <f>IF(O709="Yes", 1)</f>
        <v>0</v>
      </c>
      <c r="Q709" s="1"/>
    </row>
    <row r="710" spans="1:17" x14ac:dyDescent="0.25">
      <c r="A710">
        <v>14347</v>
      </c>
      <c r="B710" s="1" t="s">
        <v>34</v>
      </c>
      <c r="C710" s="1" t="s">
        <v>33</v>
      </c>
      <c r="D710" s="2">
        <v>40000</v>
      </c>
      <c r="E710" s="2" t="str">
        <f>IF(bike_buyers[[#This Row],[Income]]&lt;40000,"Under 40K", IF(bike_buyers[[#This Row],[Income]]&lt;60000,"40K-59K", IF(bike_buyers[[#This Row],[Income]]&lt;80000,"60K-79K", IF(bike_buyers[[#This Row],[Income]]&lt;100000,"80K-99K","100K+"))))</f>
        <v>40K-59K</v>
      </c>
      <c r="F710">
        <v>2</v>
      </c>
      <c r="G710" s="1" t="s">
        <v>12</v>
      </c>
      <c r="H710" s="1" t="s">
        <v>27</v>
      </c>
      <c r="I710" s="1" t="s">
        <v>14</v>
      </c>
      <c r="J710">
        <v>2</v>
      </c>
      <c r="K710" s="1" t="s">
        <v>22</v>
      </c>
      <c r="L710" s="1" t="s">
        <v>23</v>
      </c>
      <c r="M710">
        <v>65</v>
      </c>
      <c r="N710" s="1" t="str" cm="1">
        <f t="array" ref="N710">_xlfn.IFS(M710&lt;40, " Adult", M710&lt;60, "Middle Age", M710&gt;=60, "Older Adult")</f>
        <v>Older Adult</v>
      </c>
      <c r="O710" s="1" t="s">
        <v>14</v>
      </c>
      <c r="P710" s="1">
        <f>IF(O710="Yes", 1)</f>
        <v>1</v>
      </c>
      <c r="Q710" s="1"/>
    </row>
    <row r="711" spans="1:17" x14ac:dyDescent="0.25">
      <c r="A711">
        <v>29097</v>
      </c>
      <c r="B711" s="1" t="s">
        <v>34</v>
      </c>
      <c r="C711" s="1" t="s">
        <v>33</v>
      </c>
      <c r="D711" s="2">
        <v>40000</v>
      </c>
      <c r="E711" s="2" t="str">
        <f>IF(bike_buyers[[#This Row],[Income]]&lt;40000,"Under 40K", IF(bike_buyers[[#This Row],[Income]]&lt;60000,"40K-59K", IF(bike_buyers[[#This Row],[Income]]&lt;80000,"60K-79K", IF(bike_buyers[[#This Row],[Income]]&lt;100000,"80K-99K","100K+"))))</f>
        <v>40K-59K</v>
      </c>
      <c r="F711">
        <v>2</v>
      </c>
      <c r="G711" s="1" t="s">
        <v>18</v>
      </c>
      <c r="H711" s="1" t="s">
        <v>13</v>
      </c>
      <c r="I711" s="1" t="s">
        <v>14</v>
      </c>
      <c r="J711">
        <v>2</v>
      </c>
      <c r="K711" s="1" t="s">
        <v>22</v>
      </c>
      <c r="L711" s="1" t="s">
        <v>23</v>
      </c>
      <c r="M711">
        <v>52</v>
      </c>
      <c r="N711" s="1" t="str" cm="1">
        <f t="array" ref="N711">_xlfn.IFS(M711&lt;40, " Adult", M711&lt;60, "Middle Age", M711&gt;=60, "Older Adult")</f>
        <v>Middle Age</v>
      </c>
      <c r="O711" s="1" t="s">
        <v>14</v>
      </c>
      <c r="P711" s="1">
        <f>IF(O711="Yes", 1)</f>
        <v>1</v>
      </c>
      <c r="Q711" s="1"/>
    </row>
    <row r="712" spans="1:17" x14ac:dyDescent="0.25">
      <c r="A712">
        <v>14939</v>
      </c>
      <c r="B712" s="1" t="s">
        <v>34</v>
      </c>
      <c r="C712" s="1" t="s">
        <v>32</v>
      </c>
      <c r="D712" s="2">
        <v>40000</v>
      </c>
      <c r="E712" s="2" t="str">
        <f>IF(bike_buyers[[#This Row],[Income]]&lt;40000,"Under 40K", IF(bike_buyers[[#This Row],[Income]]&lt;60000,"40K-59K", IF(bike_buyers[[#This Row],[Income]]&lt;80000,"60K-79K", IF(bike_buyers[[#This Row],[Income]]&lt;100000,"80K-99K","100K+"))))</f>
        <v>40K-59K</v>
      </c>
      <c r="F712">
        <v>0</v>
      </c>
      <c r="G712" s="1" t="s">
        <v>12</v>
      </c>
      <c r="H712" s="1" t="s">
        <v>19</v>
      </c>
      <c r="I712" s="1" t="s">
        <v>14</v>
      </c>
      <c r="J712">
        <v>0</v>
      </c>
      <c r="K712" s="1" t="s">
        <v>15</v>
      </c>
      <c r="L712" s="1" t="s">
        <v>16</v>
      </c>
      <c r="M712">
        <v>39</v>
      </c>
      <c r="N712" s="1" t="str" cm="1">
        <f t="array" ref="N712">_xlfn.IFS(M712&lt;40, " Adult", M712&lt;60, "Middle Age", M712&gt;=60, "Older Adult")</f>
        <v xml:space="preserve"> Adult</v>
      </c>
      <c r="O712" s="1" t="s">
        <v>14</v>
      </c>
      <c r="P712" s="1">
        <f>IF(O712="Yes", 1)</f>
        <v>1</v>
      </c>
      <c r="Q712" s="1"/>
    </row>
    <row r="713" spans="1:17" x14ac:dyDescent="0.25">
      <c r="A713">
        <v>12808</v>
      </c>
      <c r="B713" s="1" t="s">
        <v>31</v>
      </c>
      <c r="C713" s="1" t="s">
        <v>32</v>
      </c>
      <c r="D713" s="2">
        <v>40000</v>
      </c>
      <c r="E713" s="2" t="str">
        <f>IF(bike_buyers[[#This Row],[Income]]&lt;40000,"Under 40K", IF(bike_buyers[[#This Row],[Income]]&lt;60000,"40K-59K", IF(bike_buyers[[#This Row],[Income]]&lt;80000,"60K-79K", IF(bike_buyers[[#This Row],[Income]]&lt;100000,"80K-99K","100K+"))))</f>
        <v>40K-59K</v>
      </c>
      <c r="F713">
        <v>0</v>
      </c>
      <c r="G713" s="1" t="s">
        <v>12</v>
      </c>
      <c r="H713" s="1" t="s">
        <v>19</v>
      </c>
      <c r="I713" s="1" t="s">
        <v>14</v>
      </c>
      <c r="J713">
        <v>0</v>
      </c>
      <c r="K713" s="1" t="s">
        <v>15</v>
      </c>
      <c r="L713" s="1" t="s">
        <v>16</v>
      </c>
      <c r="M713">
        <v>38</v>
      </c>
      <c r="N713" s="1" t="str" cm="1">
        <f t="array" ref="N713">_xlfn.IFS(M713&lt;40, " Adult", M713&lt;60, "Middle Age", M713&gt;=60, "Older Adult")</f>
        <v xml:space="preserve"> Adult</v>
      </c>
      <c r="O713" s="1" t="s">
        <v>14</v>
      </c>
      <c r="P713" s="1">
        <f>IF(O713="Yes", 1)</f>
        <v>1</v>
      </c>
      <c r="Q713" s="1"/>
    </row>
    <row r="714" spans="1:17" x14ac:dyDescent="0.25">
      <c r="A714">
        <v>25502</v>
      </c>
      <c r="B714" s="1" t="s">
        <v>31</v>
      </c>
      <c r="C714" s="1" t="s">
        <v>33</v>
      </c>
      <c r="D714" s="2">
        <v>40000</v>
      </c>
      <c r="E714" s="2" t="str">
        <f>IF(bike_buyers[[#This Row],[Income]]&lt;40000,"Under 40K", IF(bike_buyers[[#This Row],[Income]]&lt;60000,"40K-59K", IF(bike_buyers[[#This Row],[Income]]&lt;80000,"60K-79K", IF(bike_buyers[[#This Row],[Income]]&lt;100000,"80K-99K","100K+"))))</f>
        <v>40K-59K</v>
      </c>
      <c r="F714">
        <v>1</v>
      </c>
      <c r="G714" s="1" t="s">
        <v>12</v>
      </c>
      <c r="H714" s="1" t="s">
        <v>13</v>
      </c>
      <c r="I714" s="1" t="s">
        <v>14</v>
      </c>
      <c r="J714">
        <v>0</v>
      </c>
      <c r="K714" s="1" t="s">
        <v>15</v>
      </c>
      <c r="L714" s="1" t="s">
        <v>16</v>
      </c>
      <c r="M714">
        <v>43</v>
      </c>
      <c r="N714" s="1" t="str" cm="1">
        <f t="array" ref="N714">_xlfn.IFS(M714&lt;40, " Adult", M714&lt;60, "Middle Age", M714&gt;=60, "Older Adult")</f>
        <v>Middle Age</v>
      </c>
      <c r="O714" s="1" t="s">
        <v>14</v>
      </c>
      <c r="P714" s="1">
        <f>IF(O714="Yes", 1)</f>
        <v>1</v>
      </c>
      <c r="Q714" s="1"/>
    </row>
    <row r="715" spans="1:17" x14ac:dyDescent="0.25">
      <c r="A715">
        <v>16713</v>
      </c>
      <c r="B715" s="1" t="s">
        <v>31</v>
      </c>
      <c r="C715" s="1" t="s">
        <v>32</v>
      </c>
      <c r="D715" s="2">
        <v>40000</v>
      </c>
      <c r="E715" s="2" t="str">
        <f>IF(bike_buyers[[#This Row],[Income]]&lt;40000,"Under 40K", IF(bike_buyers[[#This Row],[Income]]&lt;60000,"40K-59K", IF(bike_buyers[[#This Row],[Income]]&lt;80000,"60K-79K", IF(bike_buyers[[#This Row],[Income]]&lt;100000,"80K-99K","100K+"))))</f>
        <v>40K-59K</v>
      </c>
      <c r="F715">
        <v>2</v>
      </c>
      <c r="G715" s="1" t="s">
        <v>12</v>
      </c>
      <c r="H715" s="1" t="s">
        <v>27</v>
      </c>
      <c r="I715" s="1" t="s">
        <v>14</v>
      </c>
      <c r="J715">
        <v>1</v>
      </c>
      <c r="K715" s="1" t="s">
        <v>15</v>
      </c>
      <c r="L715" s="1" t="s">
        <v>23</v>
      </c>
      <c r="M715">
        <v>52</v>
      </c>
      <c r="N715" s="1" t="str" cm="1">
        <f t="array" ref="N715">_xlfn.IFS(M715&lt;40, " Adult", M715&lt;60, "Middle Age", M715&gt;=60, "Older Adult")</f>
        <v>Middle Age</v>
      </c>
      <c r="O715" s="1" t="s">
        <v>14</v>
      </c>
      <c r="P715" s="1">
        <f>IF(O715="Yes", 1)</f>
        <v>1</v>
      </c>
      <c r="Q715" s="1"/>
    </row>
    <row r="716" spans="1:17" x14ac:dyDescent="0.25">
      <c r="A716">
        <v>29355</v>
      </c>
      <c r="B716" s="1" t="s">
        <v>31</v>
      </c>
      <c r="C716" s="1" t="s">
        <v>33</v>
      </c>
      <c r="D716" s="2">
        <v>40000</v>
      </c>
      <c r="E716" s="2" t="str">
        <f>IF(bike_buyers[[#This Row],[Income]]&lt;40000,"Under 40K", IF(bike_buyers[[#This Row],[Income]]&lt;60000,"40K-59K", IF(bike_buyers[[#This Row],[Income]]&lt;80000,"60K-79K", IF(bike_buyers[[#This Row],[Income]]&lt;100000,"80K-99K","100K+"))))</f>
        <v>40K-59K</v>
      </c>
      <c r="F716">
        <v>0</v>
      </c>
      <c r="G716" s="1" t="s">
        <v>29</v>
      </c>
      <c r="H716" s="1" t="s">
        <v>19</v>
      </c>
      <c r="I716" s="1" t="s">
        <v>14</v>
      </c>
      <c r="J716">
        <v>0</v>
      </c>
      <c r="K716" s="1" t="s">
        <v>15</v>
      </c>
      <c r="L716" s="1" t="s">
        <v>16</v>
      </c>
      <c r="M716">
        <v>37</v>
      </c>
      <c r="N716" s="1" t="str" cm="1">
        <f t="array" ref="N716">_xlfn.IFS(M716&lt;40, " Adult", M716&lt;60, "Middle Age", M716&gt;=60, "Older Adult")</f>
        <v xml:space="preserve"> Adult</v>
      </c>
      <c r="O716" s="1" t="s">
        <v>14</v>
      </c>
      <c r="P716" s="1">
        <f>IF(O716="Yes", 1)</f>
        <v>1</v>
      </c>
      <c r="Q716" s="1"/>
    </row>
    <row r="717" spans="1:17" x14ac:dyDescent="0.25">
      <c r="A717">
        <v>27745</v>
      </c>
      <c r="B717" s="1" t="s">
        <v>34</v>
      </c>
      <c r="C717" s="1" t="s">
        <v>32</v>
      </c>
      <c r="D717" s="2">
        <v>40000</v>
      </c>
      <c r="E717" s="2" t="str">
        <f>IF(bike_buyers[[#This Row],[Income]]&lt;40000,"Under 40K", IF(bike_buyers[[#This Row],[Income]]&lt;60000,"40K-59K", IF(bike_buyers[[#This Row],[Income]]&lt;80000,"60K-79K", IF(bike_buyers[[#This Row],[Income]]&lt;100000,"80K-99K","100K+"))))</f>
        <v>40K-59K</v>
      </c>
      <c r="F717">
        <v>2</v>
      </c>
      <c r="G717" s="1" t="s">
        <v>12</v>
      </c>
      <c r="H717" s="1" t="s">
        <v>27</v>
      </c>
      <c r="I717" s="1" t="s">
        <v>14</v>
      </c>
      <c r="J717">
        <v>2</v>
      </c>
      <c r="K717" s="1" t="s">
        <v>22</v>
      </c>
      <c r="L717" s="1" t="s">
        <v>23</v>
      </c>
      <c r="M717">
        <v>63</v>
      </c>
      <c r="N717" s="1" t="str" cm="1">
        <f t="array" ref="N717">_xlfn.IFS(M717&lt;40, " Adult", M717&lt;60, "Middle Age", M717&gt;=60, "Older Adult")</f>
        <v>Older Adult</v>
      </c>
      <c r="O717" s="1" t="s">
        <v>14</v>
      </c>
      <c r="P717" s="1">
        <f>IF(O717="Yes", 1)</f>
        <v>1</v>
      </c>
      <c r="Q717" s="1"/>
    </row>
    <row r="718" spans="1:17" x14ac:dyDescent="0.25">
      <c r="A718">
        <v>24485</v>
      </c>
      <c r="B718" s="1" t="s">
        <v>34</v>
      </c>
      <c r="C718" s="1" t="s">
        <v>32</v>
      </c>
      <c r="D718" s="2">
        <v>40000</v>
      </c>
      <c r="E718" s="2" t="str">
        <f>IF(bike_buyers[[#This Row],[Income]]&lt;40000,"Under 40K", IF(bike_buyers[[#This Row],[Income]]&lt;60000,"40K-59K", IF(bike_buyers[[#This Row],[Income]]&lt;80000,"60K-79K", IF(bike_buyers[[#This Row],[Income]]&lt;100000,"80K-99K","100K+"))))</f>
        <v>40K-59K</v>
      </c>
      <c r="F718">
        <v>2</v>
      </c>
      <c r="G718" s="1" t="s">
        <v>12</v>
      </c>
      <c r="H718" s="1" t="s">
        <v>27</v>
      </c>
      <c r="I718" s="1" t="s">
        <v>17</v>
      </c>
      <c r="J718">
        <v>1</v>
      </c>
      <c r="K718" s="1" t="s">
        <v>22</v>
      </c>
      <c r="L718" s="1" t="s">
        <v>23</v>
      </c>
      <c r="M718">
        <v>52</v>
      </c>
      <c r="N718" s="1" t="str" cm="1">
        <f t="array" ref="N718">_xlfn.IFS(M718&lt;40, " Adult", M718&lt;60, "Middle Age", M718&gt;=60, "Older Adult")</f>
        <v>Middle Age</v>
      </c>
      <c r="O718" s="1" t="s">
        <v>14</v>
      </c>
      <c r="P718" s="1">
        <f>IF(O718="Yes", 1)</f>
        <v>1</v>
      </c>
      <c r="Q718" s="1"/>
    </row>
    <row r="719" spans="1:17" x14ac:dyDescent="0.25">
      <c r="A719">
        <v>23940</v>
      </c>
      <c r="B719" s="1" t="s">
        <v>31</v>
      </c>
      <c r="C719" s="1" t="s">
        <v>32</v>
      </c>
      <c r="D719" s="2">
        <v>40000</v>
      </c>
      <c r="E719" s="2" t="str">
        <f>IF(bike_buyers[[#This Row],[Income]]&lt;40000,"Under 40K", IF(bike_buyers[[#This Row],[Income]]&lt;60000,"40K-59K", IF(bike_buyers[[#This Row],[Income]]&lt;80000,"60K-79K", IF(bike_buyers[[#This Row],[Income]]&lt;100000,"80K-99K","100K+"))))</f>
        <v>40K-59K</v>
      </c>
      <c r="F719">
        <v>1</v>
      </c>
      <c r="G719" s="1" t="s">
        <v>12</v>
      </c>
      <c r="H719" s="1" t="s">
        <v>13</v>
      </c>
      <c r="I719" s="1" t="s">
        <v>14</v>
      </c>
      <c r="J719">
        <v>1</v>
      </c>
      <c r="K719" s="1" t="s">
        <v>15</v>
      </c>
      <c r="L719" s="1" t="s">
        <v>16</v>
      </c>
      <c r="M719">
        <v>44</v>
      </c>
      <c r="N719" s="1" t="str" cm="1">
        <f t="array" ref="N719">_xlfn.IFS(M719&lt;40, " Adult", M719&lt;60, "Middle Age", M719&gt;=60, "Older Adult")</f>
        <v>Middle Age</v>
      </c>
      <c r="O719" s="1" t="s">
        <v>14</v>
      </c>
      <c r="P719" s="1">
        <f>IF(O719="Yes", 1)</f>
        <v>1</v>
      </c>
      <c r="Q719" s="1"/>
    </row>
    <row r="720" spans="1:17" x14ac:dyDescent="0.25">
      <c r="A720">
        <v>19441</v>
      </c>
      <c r="B720" s="1" t="s">
        <v>31</v>
      </c>
      <c r="C720" s="1" t="s">
        <v>32</v>
      </c>
      <c r="D720" s="2">
        <v>40000</v>
      </c>
      <c r="E720" s="2" t="str">
        <f>IF(bike_buyers[[#This Row],[Income]]&lt;40000,"Under 40K", IF(bike_buyers[[#This Row],[Income]]&lt;60000,"40K-59K", IF(bike_buyers[[#This Row],[Income]]&lt;80000,"60K-79K", IF(bike_buyers[[#This Row],[Income]]&lt;100000,"80K-99K","100K+"))))</f>
        <v>40K-59K</v>
      </c>
      <c r="F720">
        <v>0</v>
      </c>
      <c r="G720" s="1" t="s">
        <v>29</v>
      </c>
      <c r="H720" s="1" t="s">
        <v>19</v>
      </c>
      <c r="I720" s="1" t="s">
        <v>14</v>
      </c>
      <c r="J720">
        <v>0</v>
      </c>
      <c r="K720" s="1" t="s">
        <v>15</v>
      </c>
      <c r="L720" s="1" t="s">
        <v>16</v>
      </c>
      <c r="M720">
        <v>25</v>
      </c>
      <c r="N720" s="1" t="str" cm="1">
        <f t="array" ref="N720">_xlfn.IFS(M720&lt;40, " Adult", M720&lt;60, "Middle Age", M720&gt;=60, "Older Adult")</f>
        <v xml:space="preserve"> Adult</v>
      </c>
      <c r="O720" s="1" t="s">
        <v>14</v>
      </c>
      <c r="P720" s="1">
        <f>IF(O720="Yes", 1)</f>
        <v>1</v>
      </c>
      <c r="Q720" s="1"/>
    </row>
    <row r="721" spans="1:17" x14ac:dyDescent="0.25">
      <c r="A721">
        <v>27494</v>
      </c>
      <c r="B721" s="1" t="s">
        <v>34</v>
      </c>
      <c r="C721" s="1" t="s">
        <v>33</v>
      </c>
      <c r="D721" s="2">
        <v>40000</v>
      </c>
      <c r="E721" s="2" t="str">
        <f>IF(bike_buyers[[#This Row],[Income]]&lt;40000,"Under 40K", IF(bike_buyers[[#This Row],[Income]]&lt;60000,"40K-59K", IF(bike_buyers[[#This Row],[Income]]&lt;80000,"60K-79K", IF(bike_buyers[[#This Row],[Income]]&lt;100000,"80K-99K","100K+"))))</f>
        <v>40K-59K</v>
      </c>
      <c r="F721">
        <v>2</v>
      </c>
      <c r="G721" s="1" t="s">
        <v>18</v>
      </c>
      <c r="H721" s="1" t="s">
        <v>13</v>
      </c>
      <c r="I721" s="1" t="s">
        <v>17</v>
      </c>
      <c r="J721">
        <v>2</v>
      </c>
      <c r="K721" s="1" t="s">
        <v>25</v>
      </c>
      <c r="L721" s="1" t="s">
        <v>23</v>
      </c>
      <c r="M721">
        <v>53</v>
      </c>
      <c r="N721" s="1" t="str" cm="1">
        <f t="array" ref="N721">_xlfn.IFS(M721&lt;40, " Adult", M721&lt;60, "Middle Age", M721&gt;=60, "Older Adult")</f>
        <v>Middle Age</v>
      </c>
      <c r="O721" s="1" t="s">
        <v>14</v>
      </c>
      <c r="P721" s="1">
        <f>IF(O721="Yes", 1)</f>
        <v>1</v>
      </c>
      <c r="Q721" s="1"/>
    </row>
    <row r="722" spans="1:17" x14ac:dyDescent="0.25">
      <c r="A722">
        <v>26829</v>
      </c>
      <c r="B722" s="1" t="s">
        <v>31</v>
      </c>
      <c r="C722" s="1" t="s">
        <v>33</v>
      </c>
      <c r="D722" s="2">
        <v>40000</v>
      </c>
      <c r="E722" s="2" t="str">
        <f>IF(bike_buyers[[#This Row],[Income]]&lt;40000,"Under 40K", IF(bike_buyers[[#This Row],[Income]]&lt;60000,"40K-59K", IF(bike_buyers[[#This Row],[Income]]&lt;80000,"60K-79K", IF(bike_buyers[[#This Row],[Income]]&lt;100000,"80K-99K","100K+"))))</f>
        <v>40K-59K</v>
      </c>
      <c r="F722">
        <v>0</v>
      </c>
      <c r="G722" s="1" t="s">
        <v>12</v>
      </c>
      <c r="H722" s="1" t="s">
        <v>19</v>
      </c>
      <c r="I722" s="1" t="s">
        <v>14</v>
      </c>
      <c r="J722">
        <v>0</v>
      </c>
      <c r="K722" s="1" t="s">
        <v>15</v>
      </c>
      <c r="L722" s="1" t="s">
        <v>16</v>
      </c>
      <c r="M722">
        <v>38</v>
      </c>
      <c r="N722" s="1" t="str" cm="1">
        <f t="array" ref="N722">_xlfn.IFS(M722&lt;40, " Adult", M722&lt;60, "Middle Age", M722&gt;=60, "Older Adult")</f>
        <v xml:space="preserve"> Adult</v>
      </c>
      <c r="O722" s="1" t="s">
        <v>14</v>
      </c>
      <c r="P722" s="1">
        <f>IF(O722="Yes", 1)</f>
        <v>1</v>
      </c>
      <c r="Q722" s="1"/>
    </row>
    <row r="723" spans="1:17" x14ac:dyDescent="0.25">
      <c r="A723">
        <v>28395</v>
      </c>
      <c r="B723" s="1" t="s">
        <v>34</v>
      </c>
      <c r="C723" s="1" t="s">
        <v>32</v>
      </c>
      <c r="D723" s="2">
        <v>40000</v>
      </c>
      <c r="E723" s="2" t="str">
        <f>IF(bike_buyers[[#This Row],[Income]]&lt;40000,"Under 40K", IF(bike_buyers[[#This Row],[Income]]&lt;60000,"40K-59K", IF(bike_buyers[[#This Row],[Income]]&lt;80000,"60K-79K", IF(bike_buyers[[#This Row],[Income]]&lt;100000,"80K-99K","100K+"))))</f>
        <v>40K-59K</v>
      </c>
      <c r="F723">
        <v>0</v>
      </c>
      <c r="G723" s="1" t="s">
        <v>12</v>
      </c>
      <c r="H723" s="1" t="s">
        <v>20</v>
      </c>
      <c r="I723" s="1" t="s">
        <v>17</v>
      </c>
      <c r="J723">
        <v>0</v>
      </c>
      <c r="K723" s="1" t="s">
        <v>15</v>
      </c>
      <c r="L723" s="1" t="s">
        <v>16</v>
      </c>
      <c r="M723">
        <v>39</v>
      </c>
      <c r="N723" s="1" t="str" cm="1">
        <f t="array" ref="N723">_xlfn.IFS(M723&lt;40, " Adult", M723&lt;60, "Middle Age", M723&gt;=60, "Older Adult")</f>
        <v xml:space="preserve"> Adult</v>
      </c>
      <c r="O723" s="1" t="s">
        <v>14</v>
      </c>
      <c r="P723" s="1">
        <f>IF(O723="Yes", 1)</f>
        <v>1</v>
      </c>
      <c r="Q723" s="1"/>
    </row>
    <row r="724" spans="1:17" x14ac:dyDescent="0.25">
      <c r="A724">
        <v>17650</v>
      </c>
      <c r="B724" s="1" t="s">
        <v>34</v>
      </c>
      <c r="C724" s="1" t="s">
        <v>33</v>
      </c>
      <c r="D724" s="2">
        <v>40000</v>
      </c>
      <c r="E724" s="2" t="str">
        <f>IF(bike_buyers[[#This Row],[Income]]&lt;40000,"Under 40K", IF(bike_buyers[[#This Row],[Income]]&lt;60000,"40K-59K", IF(bike_buyers[[#This Row],[Income]]&lt;80000,"60K-79K", IF(bike_buyers[[#This Row],[Income]]&lt;100000,"80K-99K","100K+"))))</f>
        <v>40K-59K</v>
      </c>
      <c r="F724">
        <v>2</v>
      </c>
      <c r="G724" s="1" t="s">
        <v>18</v>
      </c>
      <c r="H724" s="1" t="s">
        <v>19</v>
      </c>
      <c r="I724" s="1" t="s">
        <v>14</v>
      </c>
      <c r="J724">
        <v>2</v>
      </c>
      <c r="K724" s="1" t="s">
        <v>25</v>
      </c>
      <c r="L724" s="1" t="s">
        <v>16</v>
      </c>
      <c r="M724">
        <v>35</v>
      </c>
      <c r="N724" s="1" t="str" cm="1">
        <f t="array" ref="N724">_xlfn.IFS(M724&lt;40, " Adult", M724&lt;60, "Middle Age", M724&gt;=60, "Older Adult")</f>
        <v xml:space="preserve"> Adult</v>
      </c>
      <c r="O724" s="1" t="s">
        <v>17</v>
      </c>
      <c r="P724" s="1" t="b">
        <f>IF(O724="Yes", 1)</f>
        <v>0</v>
      </c>
      <c r="Q724" s="1"/>
    </row>
    <row r="725" spans="1:17" x14ac:dyDescent="0.25">
      <c r="A725">
        <v>22988</v>
      </c>
      <c r="B725" s="1" t="s">
        <v>31</v>
      </c>
      <c r="C725" s="1" t="s">
        <v>33</v>
      </c>
      <c r="D725" s="2">
        <v>40000</v>
      </c>
      <c r="E725" s="2" t="str">
        <f>IF(bike_buyers[[#This Row],[Income]]&lt;40000,"Under 40K", IF(bike_buyers[[#This Row],[Income]]&lt;60000,"40K-59K", IF(bike_buyers[[#This Row],[Income]]&lt;80000,"60K-79K", IF(bike_buyers[[#This Row],[Income]]&lt;100000,"80K-99K","100K+"))))</f>
        <v>40K-59K</v>
      </c>
      <c r="F725">
        <v>2</v>
      </c>
      <c r="G725" s="1" t="s">
        <v>12</v>
      </c>
      <c r="H725" s="1" t="s">
        <v>27</v>
      </c>
      <c r="I725" s="1" t="s">
        <v>14</v>
      </c>
      <c r="J725">
        <v>2</v>
      </c>
      <c r="K725" s="1" t="s">
        <v>22</v>
      </c>
      <c r="L725" s="1" t="s">
        <v>23</v>
      </c>
      <c r="M725">
        <v>66</v>
      </c>
      <c r="N725" s="1" t="str" cm="1">
        <f t="array" ref="N725">_xlfn.IFS(M725&lt;40, " Adult", M725&lt;60, "Middle Age", M725&gt;=60, "Older Adult")</f>
        <v>Older Adult</v>
      </c>
      <c r="O725" s="1" t="s">
        <v>14</v>
      </c>
      <c r="P725" s="1">
        <f>IF(O725="Yes", 1)</f>
        <v>1</v>
      </c>
      <c r="Q725" s="1"/>
    </row>
    <row r="726" spans="1:17" x14ac:dyDescent="0.25">
      <c r="A726">
        <v>27775</v>
      </c>
      <c r="B726" s="1" t="s">
        <v>34</v>
      </c>
      <c r="C726" s="1" t="s">
        <v>33</v>
      </c>
      <c r="D726" s="2">
        <v>40000</v>
      </c>
      <c r="E726" s="2" t="str">
        <f>IF(bike_buyers[[#This Row],[Income]]&lt;40000,"Under 40K", IF(bike_buyers[[#This Row],[Income]]&lt;60000,"40K-59K", IF(bike_buyers[[#This Row],[Income]]&lt;80000,"60K-79K", IF(bike_buyers[[#This Row],[Income]]&lt;100000,"80K-99K","100K+"))))</f>
        <v>40K-59K</v>
      </c>
      <c r="F726">
        <v>0</v>
      </c>
      <c r="G726" s="1" t="s">
        <v>12</v>
      </c>
      <c r="H726" s="1" t="s">
        <v>19</v>
      </c>
      <c r="I726" s="1" t="s">
        <v>17</v>
      </c>
      <c r="J726">
        <v>0</v>
      </c>
      <c r="K726" s="1" t="s">
        <v>15</v>
      </c>
      <c r="L726" s="1" t="s">
        <v>16</v>
      </c>
      <c r="M726">
        <v>38</v>
      </c>
      <c r="N726" s="1" t="str" cm="1">
        <f t="array" ref="N726">_xlfn.IFS(M726&lt;40, " Adult", M726&lt;60, "Middle Age", M726&gt;=60, "Older Adult")</f>
        <v xml:space="preserve"> Adult</v>
      </c>
      <c r="O726" s="1" t="s">
        <v>14</v>
      </c>
      <c r="P726" s="1">
        <f>IF(O726="Yes", 1)</f>
        <v>1</v>
      </c>
      <c r="Q726" s="1"/>
    </row>
    <row r="727" spans="1:17" x14ac:dyDescent="0.25">
      <c r="A727">
        <v>19477</v>
      </c>
      <c r="B727" s="1" t="s">
        <v>31</v>
      </c>
      <c r="C727" s="1" t="s">
        <v>32</v>
      </c>
      <c r="D727" s="2">
        <v>40000</v>
      </c>
      <c r="E727" s="2" t="str">
        <f>IF(bike_buyers[[#This Row],[Income]]&lt;40000,"Under 40K", IF(bike_buyers[[#This Row],[Income]]&lt;60000,"40K-59K", IF(bike_buyers[[#This Row],[Income]]&lt;80000,"60K-79K", IF(bike_buyers[[#This Row],[Income]]&lt;100000,"80K-99K","100K+"))))</f>
        <v>40K-59K</v>
      </c>
      <c r="F727">
        <v>0</v>
      </c>
      <c r="G727" s="1" t="s">
        <v>12</v>
      </c>
      <c r="H727" s="1" t="s">
        <v>20</v>
      </c>
      <c r="I727" s="1" t="s">
        <v>14</v>
      </c>
      <c r="J727">
        <v>0</v>
      </c>
      <c r="K727" s="1" t="s">
        <v>15</v>
      </c>
      <c r="L727" s="1" t="s">
        <v>16</v>
      </c>
      <c r="M727">
        <v>40</v>
      </c>
      <c r="N727" s="1" t="str" cm="1">
        <f t="array" ref="N727">_xlfn.IFS(M727&lt;40, " Adult", M727&lt;60, "Middle Age", M727&gt;=60, "Older Adult")</f>
        <v>Middle Age</v>
      </c>
      <c r="O727" s="1" t="s">
        <v>14</v>
      </c>
      <c r="P727" s="1">
        <f>IF(O727="Yes", 1)</f>
        <v>1</v>
      </c>
      <c r="Q727" s="1"/>
    </row>
    <row r="728" spans="1:17" x14ac:dyDescent="0.25">
      <c r="A728">
        <v>26796</v>
      </c>
      <c r="B728" s="1" t="s">
        <v>34</v>
      </c>
      <c r="C728" s="1" t="s">
        <v>32</v>
      </c>
      <c r="D728" s="2">
        <v>40000</v>
      </c>
      <c r="E728" s="2" t="str">
        <f>IF(bike_buyers[[#This Row],[Income]]&lt;40000,"Under 40K", IF(bike_buyers[[#This Row],[Income]]&lt;60000,"40K-59K", IF(bike_buyers[[#This Row],[Income]]&lt;80000,"60K-79K", IF(bike_buyers[[#This Row],[Income]]&lt;100000,"80K-99K","100K+"))))</f>
        <v>40K-59K</v>
      </c>
      <c r="F728">
        <v>2</v>
      </c>
      <c r="G728" s="1" t="s">
        <v>12</v>
      </c>
      <c r="H728" s="1" t="s">
        <v>27</v>
      </c>
      <c r="I728" s="1" t="s">
        <v>14</v>
      </c>
      <c r="J728">
        <v>2</v>
      </c>
      <c r="K728" s="1" t="s">
        <v>22</v>
      </c>
      <c r="L728" s="1" t="s">
        <v>23</v>
      </c>
      <c r="M728">
        <v>65</v>
      </c>
      <c r="N728" s="1" t="str" cm="1">
        <f t="array" ref="N728">_xlfn.IFS(M728&lt;40, " Adult", M728&lt;60, "Middle Age", M728&gt;=60, "Older Adult")</f>
        <v>Older Adult</v>
      </c>
      <c r="O728" s="1" t="s">
        <v>14</v>
      </c>
      <c r="P728" s="1">
        <f>IF(O728="Yes", 1)</f>
        <v>1</v>
      </c>
      <c r="Q728" s="1"/>
    </row>
    <row r="729" spans="1:17" x14ac:dyDescent="0.25">
      <c r="A729">
        <v>22500</v>
      </c>
      <c r="B729" s="1" t="s">
        <v>34</v>
      </c>
      <c r="C729" s="1" t="s">
        <v>32</v>
      </c>
      <c r="D729" s="2">
        <v>40000</v>
      </c>
      <c r="E729" s="2" t="str">
        <f>IF(bike_buyers[[#This Row],[Income]]&lt;40000,"Under 40K", IF(bike_buyers[[#This Row],[Income]]&lt;60000,"40K-59K", IF(bike_buyers[[#This Row],[Income]]&lt;80000,"60K-79K", IF(bike_buyers[[#This Row],[Income]]&lt;100000,"80K-99K","100K+"))))</f>
        <v>40K-59K</v>
      </c>
      <c r="F729">
        <v>0</v>
      </c>
      <c r="G729" s="1" t="s">
        <v>12</v>
      </c>
      <c r="H729" s="1" t="s">
        <v>20</v>
      </c>
      <c r="I729" s="1" t="s">
        <v>17</v>
      </c>
      <c r="J729">
        <v>0</v>
      </c>
      <c r="K729" s="1" t="s">
        <v>15</v>
      </c>
      <c r="L729" s="1" t="s">
        <v>16</v>
      </c>
      <c r="M729">
        <v>40</v>
      </c>
      <c r="N729" s="1" t="str" cm="1">
        <f t="array" ref="N729">_xlfn.IFS(M729&lt;40, " Adult", M729&lt;60, "Middle Age", M729&gt;=60, "Older Adult")</f>
        <v>Middle Age</v>
      </c>
      <c r="O729" s="1" t="s">
        <v>14</v>
      </c>
      <c r="P729" s="1">
        <f>IF(O729="Yes", 1)</f>
        <v>1</v>
      </c>
      <c r="Q729" s="1"/>
    </row>
    <row r="730" spans="1:17" x14ac:dyDescent="0.25">
      <c r="A730">
        <v>14832</v>
      </c>
      <c r="B730" s="1" t="s">
        <v>31</v>
      </c>
      <c r="C730" s="1" t="s">
        <v>32</v>
      </c>
      <c r="D730" s="2">
        <v>40000</v>
      </c>
      <c r="E730" s="2" t="str">
        <f>IF(bike_buyers[[#This Row],[Income]]&lt;40000,"Under 40K", IF(bike_buyers[[#This Row],[Income]]&lt;60000,"40K-59K", IF(bike_buyers[[#This Row],[Income]]&lt;80000,"60K-79K", IF(bike_buyers[[#This Row],[Income]]&lt;100000,"80K-99K","100K+"))))</f>
        <v>40K-59K</v>
      </c>
      <c r="F730">
        <v>1</v>
      </c>
      <c r="G730" s="1" t="s">
        <v>12</v>
      </c>
      <c r="H730" s="1" t="s">
        <v>13</v>
      </c>
      <c r="I730" s="1" t="s">
        <v>14</v>
      </c>
      <c r="J730">
        <v>0</v>
      </c>
      <c r="K730" s="1" t="s">
        <v>15</v>
      </c>
      <c r="L730" s="1" t="s">
        <v>16</v>
      </c>
      <c r="M730">
        <v>42</v>
      </c>
      <c r="N730" s="1" t="str" cm="1">
        <f t="array" ref="N730">_xlfn.IFS(M730&lt;40, " Adult", M730&lt;60, "Middle Age", M730&gt;=60, "Older Adult")</f>
        <v>Middle Age</v>
      </c>
      <c r="O730" s="1" t="s">
        <v>14</v>
      </c>
      <c r="P730" s="1">
        <f>IF(O730="Yes", 1)</f>
        <v>1</v>
      </c>
      <c r="Q730" s="1"/>
    </row>
    <row r="731" spans="1:17" x14ac:dyDescent="0.25">
      <c r="A731">
        <v>20729</v>
      </c>
      <c r="B731" s="1" t="s">
        <v>31</v>
      </c>
      <c r="C731" s="1" t="s">
        <v>33</v>
      </c>
      <c r="D731" s="2">
        <v>40000</v>
      </c>
      <c r="E731" s="2" t="str">
        <f>IF(bike_buyers[[#This Row],[Income]]&lt;40000,"Under 40K", IF(bike_buyers[[#This Row],[Income]]&lt;60000,"40K-59K", IF(bike_buyers[[#This Row],[Income]]&lt;80000,"60K-79K", IF(bike_buyers[[#This Row],[Income]]&lt;100000,"80K-99K","100K+"))))</f>
        <v>40K-59K</v>
      </c>
      <c r="F731">
        <v>2</v>
      </c>
      <c r="G731" s="1" t="s">
        <v>18</v>
      </c>
      <c r="H731" s="1" t="s">
        <v>19</v>
      </c>
      <c r="I731" s="1" t="s">
        <v>17</v>
      </c>
      <c r="J731">
        <v>1</v>
      </c>
      <c r="K731" s="1" t="s">
        <v>15</v>
      </c>
      <c r="L731" s="1" t="s">
        <v>16</v>
      </c>
      <c r="M731">
        <v>34</v>
      </c>
      <c r="N731" s="1" t="str" cm="1">
        <f t="array" ref="N731">_xlfn.IFS(M731&lt;40, " Adult", M731&lt;60, "Middle Age", M731&gt;=60, "Older Adult")</f>
        <v xml:space="preserve"> Adult</v>
      </c>
      <c r="O731" s="1" t="s">
        <v>17</v>
      </c>
      <c r="P731" s="1" t="b">
        <f>IF(O731="Yes", 1)</f>
        <v>0</v>
      </c>
      <c r="Q731" s="1"/>
    </row>
    <row r="732" spans="1:17" x14ac:dyDescent="0.25">
      <c r="A732">
        <v>22464</v>
      </c>
      <c r="B732" s="1" t="s">
        <v>31</v>
      </c>
      <c r="C732" s="1" t="s">
        <v>32</v>
      </c>
      <c r="D732" s="2">
        <v>40000</v>
      </c>
      <c r="E732" s="2" t="str">
        <f>IF(bike_buyers[[#This Row],[Income]]&lt;40000,"Under 40K", IF(bike_buyers[[#This Row],[Income]]&lt;60000,"40K-59K", IF(bike_buyers[[#This Row],[Income]]&lt;80000,"60K-79K", IF(bike_buyers[[#This Row],[Income]]&lt;100000,"80K-99K","100K+"))))</f>
        <v>40K-59K</v>
      </c>
      <c r="F732">
        <v>0</v>
      </c>
      <c r="G732" s="1" t="s">
        <v>29</v>
      </c>
      <c r="H732" s="1" t="s">
        <v>19</v>
      </c>
      <c r="I732" s="1" t="s">
        <v>14</v>
      </c>
      <c r="J732">
        <v>0</v>
      </c>
      <c r="K732" s="1" t="s">
        <v>15</v>
      </c>
      <c r="L732" s="1" t="s">
        <v>16</v>
      </c>
      <c r="M732">
        <v>37</v>
      </c>
      <c r="N732" s="1" t="str" cm="1">
        <f t="array" ref="N732">_xlfn.IFS(M732&lt;40, " Adult", M732&lt;60, "Middle Age", M732&gt;=60, "Older Adult")</f>
        <v xml:space="preserve"> Adult</v>
      </c>
      <c r="O732" s="1" t="s">
        <v>14</v>
      </c>
      <c r="P732" s="1">
        <f>IF(O732="Yes", 1)</f>
        <v>1</v>
      </c>
      <c r="Q732" s="1"/>
    </row>
    <row r="733" spans="1:17" x14ac:dyDescent="0.25">
      <c r="A733">
        <v>19475</v>
      </c>
      <c r="B733" s="1" t="s">
        <v>31</v>
      </c>
      <c r="C733" s="1" t="s">
        <v>33</v>
      </c>
      <c r="D733" s="2">
        <v>40000</v>
      </c>
      <c r="E733" s="2" t="str">
        <f>IF(bike_buyers[[#This Row],[Income]]&lt;40000,"Under 40K", IF(bike_buyers[[#This Row],[Income]]&lt;60000,"40K-59K", IF(bike_buyers[[#This Row],[Income]]&lt;80000,"60K-79K", IF(bike_buyers[[#This Row],[Income]]&lt;100000,"80K-99K","100K+"))))</f>
        <v>40K-59K</v>
      </c>
      <c r="F733">
        <v>0</v>
      </c>
      <c r="G733" s="1" t="s">
        <v>12</v>
      </c>
      <c r="H733" s="1" t="s">
        <v>20</v>
      </c>
      <c r="I733" s="1" t="s">
        <v>17</v>
      </c>
      <c r="J733">
        <v>0</v>
      </c>
      <c r="K733" s="1" t="s">
        <v>15</v>
      </c>
      <c r="L733" s="1" t="s">
        <v>16</v>
      </c>
      <c r="M733">
        <v>40</v>
      </c>
      <c r="N733" s="1" t="str" cm="1">
        <f t="array" ref="N733">_xlfn.IFS(M733&lt;40, " Adult", M733&lt;60, "Middle Age", M733&gt;=60, "Older Adult")</f>
        <v>Middle Age</v>
      </c>
      <c r="O733" s="1" t="s">
        <v>14</v>
      </c>
      <c r="P733" s="1">
        <f>IF(O733="Yes", 1)</f>
        <v>1</v>
      </c>
      <c r="Q733" s="1"/>
    </row>
    <row r="734" spans="1:17" x14ac:dyDescent="0.25">
      <c r="A734">
        <v>24279</v>
      </c>
      <c r="B734" s="1" t="s">
        <v>34</v>
      </c>
      <c r="C734" s="1" t="s">
        <v>32</v>
      </c>
      <c r="D734" s="2">
        <v>40000</v>
      </c>
      <c r="E734" s="2" t="str">
        <f>IF(bike_buyers[[#This Row],[Income]]&lt;40000,"Under 40K", IF(bike_buyers[[#This Row],[Income]]&lt;60000,"40K-59K", IF(bike_buyers[[#This Row],[Income]]&lt;80000,"60K-79K", IF(bike_buyers[[#This Row],[Income]]&lt;100000,"80K-99K","100K+"))))</f>
        <v>40K-59K</v>
      </c>
      <c r="F734">
        <v>2</v>
      </c>
      <c r="G734" s="1" t="s">
        <v>18</v>
      </c>
      <c r="H734" s="1" t="s">
        <v>13</v>
      </c>
      <c r="I734" s="1" t="s">
        <v>17</v>
      </c>
      <c r="J734">
        <v>2</v>
      </c>
      <c r="K734" s="1" t="s">
        <v>25</v>
      </c>
      <c r="L734" s="1" t="s">
        <v>23</v>
      </c>
      <c r="M734">
        <v>52</v>
      </c>
      <c r="N734" s="1" t="str" cm="1">
        <f t="array" ref="N734">_xlfn.IFS(M734&lt;40, " Adult", M734&lt;60, "Middle Age", M734&gt;=60, "Older Adult")</f>
        <v>Middle Age</v>
      </c>
      <c r="O734" s="1" t="s">
        <v>17</v>
      </c>
      <c r="P734" s="1" t="b">
        <f>IF(O734="Yes", 1)</f>
        <v>0</v>
      </c>
      <c r="Q734" s="1"/>
    </row>
    <row r="735" spans="1:17" x14ac:dyDescent="0.25">
      <c r="A735">
        <v>19442</v>
      </c>
      <c r="B735" s="1" t="s">
        <v>34</v>
      </c>
      <c r="C735" s="1" t="s">
        <v>32</v>
      </c>
      <c r="D735" s="2">
        <v>50000</v>
      </c>
      <c r="E735" s="2" t="str">
        <f>IF(bike_buyers[[#This Row],[Income]]&lt;40000,"Under 40K", IF(bike_buyers[[#This Row],[Income]]&lt;60000,"40K-59K", IF(bike_buyers[[#This Row],[Income]]&lt;80000,"60K-79K", IF(bike_buyers[[#This Row],[Income]]&lt;100000,"80K-99K","100K+"))))</f>
        <v>40K-59K</v>
      </c>
      <c r="F735">
        <v>0</v>
      </c>
      <c r="G735" s="1" t="s">
        <v>29</v>
      </c>
      <c r="H735" s="1" t="s">
        <v>13</v>
      </c>
      <c r="I735" s="1" t="s">
        <v>14</v>
      </c>
      <c r="J735">
        <v>0</v>
      </c>
      <c r="K735" s="1" t="s">
        <v>15</v>
      </c>
      <c r="L735" s="1" t="s">
        <v>16</v>
      </c>
      <c r="M735">
        <v>37</v>
      </c>
      <c r="N735" s="1" t="str" cm="1">
        <f t="array" ref="N735">_xlfn.IFS(M735&lt;40, " Adult", M735&lt;60, "Middle Age", M735&gt;=60, "Older Adult")</f>
        <v xml:space="preserve"> Adult</v>
      </c>
      <c r="O735" s="1" t="s">
        <v>14</v>
      </c>
      <c r="P735" s="1">
        <f>IF(O735="Yes", 1)</f>
        <v>1</v>
      </c>
      <c r="Q735" s="1"/>
    </row>
    <row r="736" spans="1:17" x14ac:dyDescent="0.25">
      <c r="A736">
        <v>15265</v>
      </c>
      <c r="B736" s="1" t="s">
        <v>34</v>
      </c>
      <c r="C736" s="1" t="s">
        <v>32</v>
      </c>
      <c r="D736" s="2">
        <v>40000</v>
      </c>
      <c r="E736" s="2" t="str">
        <f>IF(bike_buyers[[#This Row],[Income]]&lt;40000,"Under 40K", IF(bike_buyers[[#This Row],[Income]]&lt;60000,"40K-59K", IF(bike_buyers[[#This Row],[Income]]&lt;80000,"60K-79K", IF(bike_buyers[[#This Row],[Income]]&lt;100000,"80K-99K","100K+"))))</f>
        <v>40K-59K</v>
      </c>
      <c r="F736">
        <v>2</v>
      </c>
      <c r="G736" s="1" t="s">
        <v>12</v>
      </c>
      <c r="H736" s="1" t="s">
        <v>27</v>
      </c>
      <c r="I736" s="1" t="s">
        <v>14</v>
      </c>
      <c r="J736">
        <v>2</v>
      </c>
      <c r="K736" s="1" t="s">
        <v>22</v>
      </c>
      <c r="L736" s="1" t="s">
        <v>23</v>
      </c>
      <c r="M736">
        <v>66</v>
      </c>
      <c r="N736" s="1" t="str" cm="1">
        <f t="array" ref="N736">_xlfn.IFS(M736&lt;40, " Adult", M736&lt;60, "Middle Age", M736&gt;=60, "Older Adult")</f>
        <v>Older Adult</v>
      </c>
      <c r="O736" s="1" t="s">
        <v>14</v>
      </c>
      <c r="P736" s="1">
        <f>IF(O736="Yes", 1)</f>
        <v>1</v>
      </c>
      <c r="Q736" s="1"/>
    </row>
    <row r="737" spans="1:17" x14ac:dyDescent="0.25">
      <c r="A737">
        <v>16209</v>
      </c>
      <c r="B737" s="1" t="s">
        <v>34</v>
      </c>
      <c r="C737" s="1" t="s">
        <v>33</v>
      </c>
      <c r="D737" s="2">
        <v>50000</v>
      </c>
      <c r="E737" s="2" t="str">
        <f>IF(bike_buyers[[#This Row],[Income]]&lt;40000,"Under 40K", IF(bike_buyers[[#This Row],[Income]]&lt;60000,"40K-59K", IF(bike_buyers[[#This Row],[Income]]&lt;80000,"60K-79K", IF(bike_buyers[[#This Row],[Income]]&lt;100000,"80K-99K","100K+"))))</f>
        <v>40K-59K</v>
      </c>
      <c r="F737">
        <v>0</v>
      </c>
      <c r="G737" s="1" t="s">
        <v>29</v>
      </c>
      <c r="H737" s="1" t="s">
        <v>13</v>
      </c>
      <c r="I737" s="1" t="s">
        <v>14</v>
      </c>
      <c r="J737">
        <v>0</v>
      </c>
      <c r="K737" s="1" t="s">
        <v>25</v>
      </c>
      <c r="L737" s="1" t="s">
        <v>16</v>
      </c>
      <c r="M737">
        <v>36</v>
      </c>
      <c r="N737" s="1" t="str" cm="1">
        <f t="array" ref="N737">_xlfn.IFS(M737&lt;40, " Adult", M737&lt;60, "Middle Age", M737&gt;=60, "Older Adult")</f>
        <v xml:space="preserve"> Adult</v>
      </c>
      <c r="O737" s="1" t="s">
        <v>17</v>
      </c>
      <c r="P737" s="1" t="b">
        <f>IF(O737="Yes", 1)</f>
        <v>0</v>
      </c>
      <c r="Q737" s="1"/>
    </row>
    <row r="738" spans="1:17" x14ac:dyDescent="0.25">
      <c r="A738">
        <v>18626</v>
      </c>
      <c r="B738" s="1" t="s">
        <v>34</v>
      </c>
      <c r="C738" s="1" t="s">
        <v>32</v>
      </c>
      <c r="D738" s="2">
        <v>40000</v>
      </c>
      <c r="E738" s="2" t="str">
        <f>IF(bike_buyers[[#This Row],[Income]]&lt;40000,"Under 40K", IF(bike_buyers[[#This Row],[Income]]&lt;60000,"40K-59K", IF(bike_buyers[[#This Row],[Income]]&lt;80000,"60K-79K", IF(bike_buyers[[#This Row],[Income]]&lt;100000,"80K-99K","100K+"))))</f>
        <v>40K-59K</v>
      </c>
      <c r="F738">
        <v>2</v>
      </c>
      <c r="G738" s="1" t="s">
        <v>18</v>
      </c>
      <c r="H738" s="1" t="s">
        <v>19</v>
      </c>
      <c r="I738" s="1" t="s">
        <v>14</v>
      </c>
      <c r="J738">
        <v>0</v>
      </c>
      <c r="K738" s="1" t="s">
        <v>25</v>
      </c>
      <c r="L738" s="1" t="s">
        <v>16</v>
      </c>
      <c r="M738">
        <v>33</v>
      </c>
      <c r="N738" s="1" t="str" cm="1">
        <f t="array" ref="N738">_xlfn.IFS(M738&lt;40, " Adult", M738&lt;60, "Middle Age", M738&gt;=60, "Older Adult")</f>
        <v xml:space="preserve"> Adult</v>
      </c>
      <c r="O738" s="1" t="s">
        <v>14</v>
      </c>
      <c r="P738" s="1">
        <f>IF(O738="Yes", 1)</f>
        <v>1</v>
      </c>
      <c r="Q738" s="1"/>
    </row>
    <row r="739" spans="1:17" x14ac:dyDescent="0.25">
      <c r="A739">
        <v>22633</v>
      </c>
      <c r="B739" s="1" t="s">
        <v>34</v>
      </c>
      <c r="C739" s="1" t="s">
        <v>33</v>
      </c>
      <c r="D739" s="2">
        <v>40000</v>
      </c>
      <c r="E739" s="2" t="str">
        <f>IF(bike_buyers[[#This Row],[Income]]&lt;40000,"Under 40K", IF(bike_buyers[[#This Row],[Income]]&lt;60000,"40K-59K", IF(bike_buyers[[#This Row],[Income]]&lt;80000,"60K-79K", IF(bike_buyers[[#This Row],[Income]]&lt;100000,"80K-99K","100K+"))))</f>
        <v>40K-59K</v>
      </c>
      <c r="F739">
        <v>0</v>
      </c>
      <c r="G739" s="1" t="s">
        <v>29</v>
      </c>
      <c r="H739" s="1" t="s">
        <v>19</v>
      </c>
      <c r="I739" s="1" t="s">
        <v>14</v>
      </c>
      <c r="J739">
        <v>0</v>
      </c>
      <c r="K739" s="1" t="s">
        <v>15</v>
      </c>
      <c r="L739" s="1" t="s">
        <v>16</v>
      </c>
      <c r="M739">
        <v>37</v>
      </c>
      <c r="N739" s="1" t="str" cm="1">
        <f t="array" ref="N739">_xlfn.IFS(M739&lt;40, " Adult", M739&lt;60, "Middle Age", M739&gt;=60, "Older Adult")</f>
        <v xml:space="preserve"> Adult</v>
      </c>
      <c r="O739" s="1" t="s">
        <v>14</v>
      </c>
      <c r="P739" s="1">
        <f>IF(O739="Yes", 1)</f>
        <v>1</v>
      </c>
      <c r="Q739" s="1"/>
    </row>
    <row r="740" spans="1:17" x14ac:dyDescent="0.25">
      <c r="A740">
        <v>19299</v>
      </c>
      <c r="B740" s="1" t="s">
        <v>31</v>
      </c>
      <c r="C740" s="1" t="s">
        <v>33</v>
      </c>
      <c r="D740" s="2">
        <v>50000</v>
      </c>
      <c r="E740" s="2" t="str">
        <f>IF(bike_buyers[[#This Row],[Income]]&lt;40000,"Under 40K", IF(bike_buyers[[#This Row],[Income]]&lt;60000,"40K-59K", IF(bike_buyers[[#This Row],[Income]]&lt;80000,"60K-79K", IF(bike_buyers[[#This Row],[Income]]&lt;100000,"80K-99K","100K+"))))</f>
        <v>40K-59K</v>
      </c>
      <c r="F740">
        <v>0</v>
      </c>
      <c r="G740" s="1" t="s">
        <v>29</v>
      </c>
      <c r="H740" s="1" t="s">
        <v>13</v>
      </c>
      <c r="I740" s="1" t="s">
        <v>14</v>
      </c>
      <c r="J740">
        <v>0</v>
      </c>
      <c r="K740" s="1" t="s">
        <v>15</v>
      </c>
      <c r="L740" s="1" t="s">
        <v>16</v>
      </c>
      <c r="M740">
        <v>36</v>
      </c>
      <c r="N740" s="1" t="str" cm="1">
        <f t="array" ref="N740">_xlfn.IFS(M740&lt;40, " Adult", M740&lt;60, "Middle Age", M740&gt;=60, "Older Adult")</f>
        <v xml:space="preserve"> Adult</v>
      </c>
      <c r="O740" s="1" t="s">
        <v>14</v>
      </c>
      <c r="P740" s="1">
        <f>IF(O740="Yes", 1)</f>
        <v>1</v>
      </c>
      <c r="Q740" s="1"/>
    </row>
    <row r="741" spans="1:17" x14ac:dyDescent="0.25">
      <c r="A741">
        <v>14777</v>
      </c>
      <c r="B741" s="1" t="s">
        <v>31</v>
      </c>
      <c r="C741" s="1" t="s">
        <v>33</v>
      </c>
      <c r="D741" s="2">
        <v>40000</v>
      </c>
      <c r="E741" s="2" t="str">
        <f>IF(bike_buyers[[#This Row],[Income]]&lt;40000,"Under 40K", IF(bike_buyers[[#This Row],[Income]]&lt;60000,"40K-59K", IF(bike_buyers[[#This Row],[Income]]&lt;80000,"60K-79K", IF(bike_buyers[[#This Row],[Income]]&lt;100000,"80K-99K","100K+"))))</f>
        <v>40K-59K</v>
      </c>
      <c r="F741">
        <v>0</v>
      </c>
      <c r="G741" s="1" t="s">
        <v>12</v>
      </c>
      <c r="H741" s="1" t="s">
        <v>19</v>
      </c>
      <c r="I741" s="1" t="s">
        <v>14</v>
      </c>
      <c r="J741">
        <v>0</v>
      </c>
      <c r="K741" s="1" t="s">
        <v>15</v>
      </c>
      <c r="L741" s="1" t="s">
        <v>16</v>
      </c>
      <c r="M741">
        <v>38</v>
      </c>
      <c r="N741" s="1" t="str" cm="1">
        <f t="array" ref="N741">_xlfn.IFS(M741&lt;40, " Adult", M741&lt;60, "Middle Age", M741&gt;=60, "Older Adult")</f>
        <v xml:space="preserve"> Adult</v>
      </c>
      <c r="O741" s="1" t="s">
        <v>14</v>
      </c>
      <c r="P741" s="1">
        <f>IF(O741="Yes", 1)</f>
        <v>1</v>
      </c>
      <c r="Q741" s="1"/>
    </row>
    <row r="742" spans="1:17" x14ac:dyDescent="0.25">
      <c r="A742">
        <v>14164</v>
      </c>
      <c r="B742" s="1" t="s">
        <v>34</v>
      </c>
      <c r="C742" s="1" t="s">
        <v>33</v>
      </c>
      <c r="D742" s="2">
        <v>50000</v>
      </c>
      <c r="E742" s="2" t="str">
        <f>IF(bike_buyers[[#This Row],[Income]]&lt;40000,"Under 40K", IF(bike_buyers[[#This Row],[Income]]&lt;60000,"40K-59K", IF(bike_buyers[[#This Row],[Income]]&lt;80000,"60K-79K", IF(bike_buyers[[#This Row],[Income]]&lt;100000,"80K-99K","100K+"))))</f>
        <v>40K-59K</v>
      </c>
      <c r="F742">
        <v>0</v>
      </c>
      <c r="G742" s="1" t="s">
        <v>29</v>
      </c>
      <c r="H742" s="1" t="s">
        <v>13</v>
      </c>
      <c r="I742" s="1" t="s">
        <v>14</v>
      </c>
      <c r="J742">
        <v>0</v>
      </c>
      <c r="K742" s="1" t="s">
        <v>15</v>
      </c>
      <c r="L742" s="1" t="s">
        <v>16</v>
      </c>
      <c r="M742">
        <v>36</v>
      </c>
      <c r="N742" s="1" t="str" cm="1">
        <f t="array" ref="N742">_xlfn.IFS(M742&lt;40, " Adult", M742&lt;60, "Middle Age", M742&gt;=60, "Older Adult")</f>
        <v xml:space="preserve"> Adult</v>
      </c>
      <c r="O742" s="1" t="s">
        <v>14</v>
      </c>
      <c r="P742" s="1">
        <f>IF(O742="Yes", 1)</f>
        <v>1</v>
      </c>
      <c r="Q742" s="1"/>
    </row>
    <row r="743" spans="1:17" x14ac:dyDescent="0.25">
      <c r="A743">
        <v>26219</v>
      </c>
      <c r="B743" s="1" t="s">
        <v>31</v>
      </c>
      <c r="C743" s="1" t="s">
        <v>33</v>
      </c>
      <c r="D743" s="2">
        <v>40000</v>
      </c>
      <c r="E743" s="2" t="str">
        <f>IF(bike_buyers[[#This Row],[Income]]&lt;40000,"Under 40K", IF(bike_buyers[[#This Row],[Income]]&lt;60000,"40K-59K", IF(bike_buyers[[#This Row],[Income]]&lt;80000,"60K-79K", IF(bike_buyers[[#This Row],[Income]]&lt;100000,"80K-99K","100K+"))))</f>
        <v>40K-59K</v>
      </c>
      <c r="F743">
        <v>1</v>
      </c>
      <c r="G743" s="1" t="s">
        <v>12</v>
      </c>
      <c r="H743" s="1" t="s">
        <v>13</v>
      </c>
      <c r="I743" s="1" t="s">
        <v>14</v>
      </c>
      <c r="J743">
        <v>1</v>
      </c>
      <c r="K743" s="1" t="s">
        <v>25</v>
      </c>
      <c r="L743" s="1" t="s">
        <v>16</v>
      </c>
      <c r="M743">
        <v>33</v>
      </c>
      <c r="N743" s="1" t="str" cm="1">
        <f t="array" ref="N743">_xlfn.IFS(M743&lt;40, " Adult", M743&lt;60, "Middle Age", M743&gt;=60, "Older Adult")</f>
        <v xml:space="preserve"> Adult</v>
      </c>
      <c r="O743" s="1" t="s">
        <v>14</v>
      </c>
      <c r="P743" s="1">
        <f>IF(O743="Yes", 1)</f>
        <v>1</v>
      </c>
      <c r="Q743" s="1"/>
    </row>
    <row r="744" spans="1:17" x14ac:dyDescent="0.25">
      <c r="A744">
        <v>17964</v>
      </c>
      <c r="B744" s="1" t="s">
        <v>31</v>
      </c>
      <c r="C744" s="1" t="s">
        <v>32</v>
      </c>
      <c r="D744" s="2">
        <v>40000</v>
      </c>
      <c r="E744" s="2" t="str">
        <f>IF(bike_buyers[[#This Row],[Income]]&lt;40000,"Under 40K", IF(bike_buyers[[#This Row],[Income]]&lt;60000,"40K-59K", IF(bike_buyers[[#This Row],[Income]]&lt;80000,"60K-79K", IF(bike_buyers[[#This Row],[Income]]&lt;100000,"80K-99K","100K+"))))</f>
        <v>40K-59K</v>
      </c>
      <c r="F744">
        <v>0</v>
      </c>
      <c r="G744" s="1" t="s">
        <v>29</v>
      </c>
      <c r="H744" s="1" t="s">
        <v>19</v>
      </c>
      <c r="I744" s="1" t="s">
        <v>14</v>
      </c>
      <c r="J744">
        <v>0</v>
      </c>
      <c r="K744" s="1" t="s">
        <v>15</v>
      </c>
      <c r="L744" s="1" t="s">
        <v>16</v>
      </c>
      <c r="M744">
        <v>37</v>
      </c>
      <c r="N744" s="1" t="str" cm="1">
        <f t="array" ref="N744">_xlfn.IFS(M744&lt;40, " Adult", M744&lt;60, "Middle Age", M744&gt;=60, "Older Adult")</f>
        <v xml:space="preserve"> Adult</v>
      </c>
      <c r="O744" s="1" t="s">
        <v>14</v>
      </c>
      <c r="P744" s="1">
        <f>IF(O744="Yes", 1)</f>
        <v>1</v>
      </c>
      <c r="Q744" s="1"/>
    </row>
    <row r="745" spans="1:17" x14ac:dyDescent="0.25">
      <c r="A745">
        <v>21039</v>
      </c>
      <c r="B745" s="1" t="s">
        <v>34</v>
      </c>
      <c r="C745" s="1" t="s">
        <v>33</v>
      </c>
      <c r="D745" s="2">
        <v>50000</v>
      </c>
      <c r="E745" s="2" t="str">
        <f>IF(bike_buyers[[#This Row],[Income]]&lt;40000,"Under 40K", IF(bike_buyers[[#This Row],[Income]]&lt;60000,"40K-59K", IF(bike_buyers[[#This Row],[Income]]&lt;80000,"60K-79K", IF(bike_buyers[[#This Row],[Income]]&lt;100000,"80K-99K","100K+"))))</f>
        <v>40K-59K</v>
      </c>
      <c r="F745">
        <v>0</v>
      </c>
      <c r="G745" s="1" t="s">
        <v>29</v>
      </c>
      <c r="H745" s="1" t="s">
        <v>13</v>
      </c>
      <c r="I745" s="1" t="s">
        <v>17</v>
      </c>
      <c r="J745">
        <v>0</v>
      </c>
      <c r="K745" s="1" t="s">
        <v>15</v>
      </c>
      <c r="L745" s="1" t="s">
        <v>16</v>
      </c>
      <c r="M745">
        <v>37</v>
      </c>
      <c r="N745" s="1" t="str" cm="1">
        <f t="array" ref="N745">_xlfn.IFS(M745&lt;40, " Adult", M745&lt;60, "Middle Age", M745&gt;=60, "Older Adult")</f>
        <v xml:space="preserve"> Adult</v>
      </c>
      <c r="O745" s="1" t="s">
        <v>14</v>
      </c>
      <c r="P745" s="1">
        <f>IF(O745="Yes", 1)</f>
        <v>1</v>
      </c>
      <c r="Q745" s="1"/>
    </row>
    <row r="746" spans="1:17" x14ac:dyDescent="0.25">
      <c r="A746">
        <v>16406</v>
      </c>
      <c r="B746" s="1" t="s">
        <v>31</v>
      </c>
      <c r="C746" s="1" t="s">
        <v>32</v>
      </c>
      <c r="D746" s="2">
        <v>40000</v>
      </c>
      <c r="E746" s="2" t="str">
        <f>IF(bike_buyers[[#This Row],[Income]]&lt;40000,"Under 40K", IF(bike_buyers[[#This Row],[Income]]&lt;60000,"40K-59K", IF(bike_buyers[[#This Row],[Income]]&lt;80000,"60K-79K", IF(bike_buyers[[#This Row],[Income]]&lt;100000,"80K-99K","100K+"))))</f>
        <v>40K-59K</v>
      </c>
      <c r="F746">
        <v>0</v>
      </c>
      <c r="G746" s="1" t="s">
        <v>12</v>
      </c>
      <c r="H746" s="1" t="s">
        <v>19</v>
      </c>
      <c r="I746" s="1" t="s">
        <v>17</v>
      </c>
      <c r="J746">
        <v>0</v>
      </c>
      <c r="K746" s="1" t="s">
        <v>15</v>
      </c>
      <c r="L746" s="1" t="s">
        <v>16</v>
      </c>
      <c r="M746">
        <v>38</v>
      </c>
      <c r="N746" s="1" t="str" cm="1">
        <f t="array" ref="N746">_xlfn.IFS(M746&lt;40, " Adult", M746&lt;60, "Middle Age", M746&gt;=60, "Older Adult")</f>
        <v xml:space="preserve"> Adult</v>
      </c>
      <c r="O746" s="1" t="s">
        <v>14</v>
      </c>
      <c r="P746" s="1">
        <f>IF(O746="Yes", 1)</f>
        <v>1</v>
      </c>
      <c r="Q746" s="1"/>
    </row>
    <row r="747" spans="1:17" x14ac:dyDescent="0.25">
      <c r="A747">
        <v>20923</v>
      </c>
      <c r="B747" s="1" t="s">
        <v>31</v>
      </c>
      <c r="C747" s="1" t="s">
        <v>33</v>
      </c>
      <c r="D747" s="2">
        <v>40000</v>
      </c>
      <c r="E747" s="2" t="str">
        <f>IF(bike_buyers[[#This Row],[Income]]&lt;40000,"Under 40K", IF(bike_buyers[[#This Row],[Income]]&lt;60000,"40K-59K", IF(bike_buyers[[#This Row],[Income]]&lt;80000,"60K-79K", IF(bike_buyers[[#This Row],[Income]]&lt;100000,"80K-99K","100K+"))))</f>
        <v>40K-59K</v>
      </c>
      <c r="F747">
        <v>1</v>
      </c>
      <c r="G747" s="1" t="s">
        <v>12</v>
      </c>
      <c r="H747" s="1" t="s">
        <v>13</v>
      </c>
      <c r="I747" s="1" t="s">
        <v>14</v>
      </c>
      <c r="J747">
        <v>0</v>
      </c>
      <c r="K747" s="1" t="s">
        <v>15</v>
      </c>
      <c r="L747" s="1" t="s">
        <v>16</v>
      </c>
      <c r="M747">
        <v>42</v>
      </c>
      <c r="N747" s="1" t="str" cm="1">
        <f t="array" ref="N747">_xlfn.IFS(M747&lt;40, " Adult", M747&lt;60, "Middle Age", M747&gt;=60, "Older Adult")</f>
        <v>Middle Age</v>
      </c>
      <c r="O747" s="1" t="s">
        <v>14</v>
      </c>
      <c r="P747" s="1">
        <f>IF(O747="Yes", 1)</f>
        <v>1</v>
      </c>
      <c r="Q747" s="1"/>
    </row>
    <row r="748" spans="1:17" x14ac:dyDescent="0.25">
      <c r="A748">
        <v>17926</v>
      </c>
      <c r="B748" s="1" t="s">
        <v>34</v>
      </c>
      <c r="C748" s="1" t="s">
        <v>33</v>
      </c>
      <c r="D748" s="2">
        <v>40000</v>
      </c>
      <c r="E748" s="2" t="str">
        <f>IF(bike_buyers[[#This Row],[Income]]&lt;40000,"Under 40K", IF(bike_buyers[[#This Row],[Income]]&lt;60000,"40K-59K", IF(bike_buyers[[#This Row],[Income]]&lt;80000,"60K-79K", IF(bike_buyers[[#This Row],[Income]]&lt;100000,"80K-99K","100K+"))))</f>
        <v>40K-59K</v>
      </c>
      <c r="F748">
        <v>0</v>
      </c>
      <c r="G748" s="1" t="s">
        <v>12</v>
      </c>
      <c r="H748" s="1" t="s">
        <v>19</v>
      </c>
      <c r="I748" s="1" t="s">
        <v>17</v>
      </c>
      <c r="J748">
        <v>0</v>
      </c>
      <c r="K748" s="1" t="s">
        <v>15</v>
      </c>
      <c r="L748" s="1" t="s">
        <v>23</v>
      </c>
      <c r="M748">
        <v>28</v>
      </c>
      <c r="N748" s="1" t="str" cm="1">
        <f t="array" ref="N748">_xlfn.IFS(M748&lt;40, " Adult", M748&lt;60, "Middle Age", M748&gt;=60, "Older Adult")</f>
        <v xml:space="preserve"> Adult</v>
      </c>
      <c r="O748" s="1" t="s">
        <v>14</v>
      </c>
      <c r="P748" s="1">
        <f>IF(O748="Yes", 1)</f>
        <v>1</v>
      </c>
      <c r="Q748" s="1"/>
    </row>
    <row r="749" spans="1:17" x14ac:dyDescent="0.25">
      <c r="A749">
        <v>28758</v>
      </c>
      <c r="B749" s="1" t="s">
        <v>31</v>
      </c>
      <c r="C749" s="1" t="s">
        <v>32</v>
      </c>
      <c r="D749" s="2">
        <v>40000</v>
      </c>
      <c r="E749" s="2" t="str">
        <f>IF(bike_buyers[[#This Row],[Income]]&lt;40000,"Under 40K", IF(bike_buyers[[#This Row],[Income]]&lt;60000,"40K-59K", IF(bike_buyers[[#This Row],[Income]]&lt;80000,"60K-79K", IF(bike_buyers[[#This Row],[Income]]&lt;100000,"80K-99K","100K+"))))</f>
        <v>40K-59K</v>
      </c>
      <c r="F749">
        <v>2</v>
      </c>
      <c r="G749" s="1" t="s">
        <v>18</v>
      </c>
      <c r="H749" s="1" t="s">
        <v>19</v>
      </c>
      <c r="I749" s="1" t="s">
        <v>14</v>
      </c>
      <c r="J749">
        <v>1</v>
      </c>
      <c r="K749" s="1" t="s">
        <v>25</v>
      </c>
      <c r="L749" s="1" t="s">
        <v>16</v>
      </c>
      <c r="M749">
        <v>35</v>
      </c>
      <c r="N749" s="1" t="str" cm="1">
        <f t="array" ref="N749">_xlfn.IFS(M749&lt;40, " Adult", M749&lt;60, "Middle Age", M749&gt;=60, "Older Adult")</f>
        <v xml:space="preserve"> Adult</v>
      </c>
      <c r="O749" s="1" t="s">
        <v>14</v>
      </c>
      <c r="P749" s="1">
        <f>IF(O749="Yes", 1)</f>
        <v>1</v>
      </c>
      <c r="Q749" s="1"/>
    </row>
    <row r="750" spans="1:17" x14ac:dyDescent="0.25">
      <c r="A750">
        <v>23105</v>
      </c>
      <c r="B750" s="1" t="s">
        <v>34</v>
      </c>
      <c r="C750" s="1" t="s">
        <v>32</v>
      </c>
      <c r="D750" s="2">
        <v>40000</v>
      </c>
      <c r="E750" s="2" t="str">
        <f>IF(bike_buyers[[#This Row],[Income]]&lt;40000,"Under 40K", IF(bike_buyers[[#This Row],[Income]]&lt;60000,"40K-59K", IF(bike_buyers[[#This Row],[Income]]&lt;80000,"60K-79K", IF(bike_buyers[[#This Row],[Income]]&lt;100000,"80K-99K","100K+"))))</f>
        <v>40K-59K</v>
      </c>
      <c r="F750">
        <v>3</v>
      </c>
      <c r="G750" s="1" t="s">
        <v>28</v>
      </c>
      <c r="H750" s="1" t="s">
        <v>19</v>
      </c>
      <c r="I750" s="1" t="s">
        <v>17</v>
      </c>
      <c r="J750">
        <v>2</v>
      </c>
      <c r="K750" s="1" t="s">
        <v>22</v>
      </c>
      <c r="L750" s="1" t="s">
        <v>23</v>
      </c>
      <c r="M750">
        <v>52</v>
      </c>
      <c r="N750" s="1" t="str" cm="1">
        <f t="array" ref="N750">_xlfn.IFS(M750&lt;40, " Adult", M750&lt;60, "Middle Age", M750&gt;=60, "Older Adult")</f>
        <v>Middle Age</v>
      </c>
      <c r="O750" s="1" t="s">
        <v>14</v>
      </c>
      <c r="P750" s="1">
        <f>IF(O750="Yes", 1)</f>
        <v>1</v>
      </c>
      <c r="Q750" s="1"/>
    </row>
    <row r="751" spans="1:17" x14ac:dyDescent="0.25">
      <c r="A751">
        <v>17352</v>
      </c>
      <c r="B751" s="1" t="s">
        <v>31</v>
      </c>
      <c r="C751" s="1" t="s">
        <v>32</v>
      </c>
      <c r="D751" s="2">
        <v>50000</v>
      </c>
      <c r="E751" s="2" t="str">
        <f>IF(bike_buyers[[#This Row],[Income]]&lt;40000,"Under 40K", IF(bike_buyers[[#This Row],[Income]]&lt;60000,"40K-59K", IF(bike_buyers[[#This Row],[Income]]&lt;80000,"60K-79K", IF(bike_buyers[[#This Row],[Income]]&lt;100000,"80K-99K","100K+"))))</f>
        <v>40K-59K</v>
      </c>
      <c r="F751">
        <v>2</v>
      </c>
      <c r="G751" s="1" t="s">
        <v>29</v>
      </c>
      <c r="H751" s="1" t="s">
        <v>27</v>
      </c>
      <c r="I751" s="1" t="s">
        <v>14</v>
      </c>
      <c r="J751">
        <v>1</v>
      </c>
      <c r="K751" s="1" t="s">
        <v>22</v>
      </c>
      <c r="L751" s="1" t="s">
        <v>23</v>
      </c>
      <c r="M751">
        <v>64</v>
      </c>
      <c r="N751" s="1" t="str" cm="1">
        <f t="array" ref="N751">_xlfn.IFS(M751&lt;40, " Adult", M751&lt;60, "Middle Age", M751&gt;=60, "Older Adult")</f>
        <v>Older Adult</v>
      </c>
      <c r="O751" s="1" t="s">
        <v>14</v>
      </c>
      <c r="P751" s="1">
        <f>IF(O751="Yes", 1)</f>
        <v>1</v>
      </c>
      <c r="Q751" s="1"/>
    </row>
    <row r="752" spans="1:17" x14ac:dyDescent="0.25">
      <c r="A752">
        <v>27760</v>
      </c>
      <c r="B752" s="1" t="s">
        <v>34</v>
      </c>
      <c r="C752" s="1" t="s">
        <v>33</v>
      </c>
      <c r="D752" s="2">
        <v>40000</v>
      </c>
      <c r="E752" s="2" t="str">
        <f>IF(bike_buyers[[#This Row],[Income]]&lt;40000,"Under 40K", IF(bike_buyers[[#This Row],[Income]]&lt;60000,"40K-59K", IF(bike_buyers[[#This Row],[Income]]&lt;80000,"60K-79K", IF(bike_buyers[[#This Row],[Income]]&lt;100000,"80K-99K","100K+"))))</f>
        <v>40K-59K</v>
      </c>
      <c r="F752">
        <v>0</v>
      </c>
      <c r="G752" s="1" t="s">
        <v>29</v>
      </c>
      <c r="H752" s="1" t="s">
        <v>19</v>
      </c>
      <c r="I752" s="1" t="s">
        <v>17</v>
      </c>
      <c r="J752">
        <v>0</v>
      </c>
      <c r="K752" s="1" t="s">
        <v>15</v>
      </c>
      <c r="L752" s="1" t="s">
        <v>16</v>
      </c>
      <c r="M752">
        <v>37</v>
      </c>
      <c r="N752" s="1" t="str" cm="1">
        <f t="array" ref="N752">_xlfn.IFS(M752&lt;40, " Adult", M752&lt;60, "Middle Age", M752&gt;=60, "Older Adult")</f>
        <v xml:space="preserve"> Adult</v>
      </c>
      <c r="O752" s="1" t="s">
        <v>14</v>
      </c>
      <c r="P752" s="1">
        <f>IF(O752="Yes", 1)</f>
        <v>1</v>
      </c>
      <c r="Q752" s="1"/>
    </row>
    <row r="753" spans="1:17" x14ac:dyDescent="0.25">
      <c r="A753">
        <v>23780</v>
      </c>
      <c r="B753" s="1" t="s">
        <v>34</v>
      </c>
      <c r="C753" s="1" t="s">
        <v>32</v>
      </c>
      <c r="D753" s="2">
        <v>40000</v>
      </c>
      <c r="E753" s="2" t="str">
        <f>IF(bike_buyers[[#This Row],[Income]]&lt;40000,"Under 40K", IF(bike_buyers[[#This Row],[Income]]&lt;60000,"40K-59K", IF(bike_buyers[[#This Row],[Income]]&lt;80000,"60K-79K", IF(bike_buyers[[#This Row],[Income]]&lt;100000,"80K-99K","100K+"))))</f>
        <v>40K-59K</v>
      </c>
      <c r="F753">
        <v>2</v>
      </c>
      <c r="G753" s="1" t="s">
        <v>18</v>
      </c>
      <c r="H753" s="1" t="s">
        <v>19</v>
      </c>
      <c r="I753" s="1" t="s">
        <v>17</v>
      </c>
      <c r="J753">
        <v>2</v>
      </c>
      <c r="K753" s="1" t="s">
        <v>15</v>
      </c>
      <c r="L753" s="1" t="s">
        <v>16</v>
      </c>
      <c r="M753">
        <v>36</v>
      </c>
      <c r="N753" s="1" t="str" cm="1">
        <f t="array" ref="N753">_xlfn.IFS(M753&lt;40, " Adult", M753&lt;60, "Middle Age", M753&gt;=60, "Older Adult")</f>
        <v xml:space="preserve"> Adult</v>
      </c>
      <c r="O753" s="1" t="s">
        <v>14</v>
      </c>
      <c r="P753" s="1">
        <f>IF(O753="Yes", 1)</f>
        <v>1</v>
      </c>
      <c r="Q753" s="1"/>
    </row>
    <row r="754" spans="1:17" x14ac:dyDescent="0.25">
      <c r="A754">
        <v>14865</v>
      </c>
      <c r="B754" s="1" t="s">
        <v>34</v>
      </c>
      <c r="C754" s="1" t="s">
        <v>32</v>
      </c>
      <c r="D754" s="2">
        <v>40000</v>
      </c>
      <c r="E754" s="2" t="str">
        <f>IF(bike_buyers[[#This Row],[Income]]&lt;40000,"Under 40K", IF(bike_buyers[[#This Row],[Income]]&lt;60000,"40K-59K", IF(bike_buyers[[#This Row],[Income]]&lt;80000,"60K-79K", IF(bike_buyers[[#This Row],[Income]]&lt;100000,"80K-99K","100K+"))))</f>
        <v>40K-59K</v>
      </c>
      <c r="F754">
        <v>2</v>
      </c>
      <c r="G754" s="1" t="s">
        <v>18</v>
      </c>
      <c r="H754" s="1" t="s">
        <v>19</v>
      </c>
      <c r="I754" s="1" t="s">
        <v>14</v>
      </c>
      <c r="J754">
        <v>2</v>
      </c>
      <c r="K754" s="1" t="s">
        <v>25</v>
      </c>
      <c r="L754" s="1" t="s">
        <v>16</v>
      </c>
      <c r="M754">
        <v>36</v>
      </c>
      <c r="N754" s="1" t="str" cm="1">
        <f t="array" ref="N754">_xlfn.IFS(M754&lt;40, " Adult", M754&lt;60, "Middle Age", M754&gt;=60, "Older Adult")</f>
        <v xml:space="preserve"> Adult</v>
      </c>
      <c r="O754" s="1" t="s">
        <v>17</v>
      </c>
      <c r="P754" s="1" t="b">
        <f>IF(O754="Yes", 1)</f>
        <v>0</v>
      </c>
      <c r="Q754" s="1"/>
    </row>
    <row r="755" spans="1:17" x14ac:dyDescent="0.25">
      <c r="A755">
        <v>25651</v>
      </c>
      <c r="B755" s="1" t="s">
        <v>31</v>
      </c>
      <c r="C755" s="1" t="s">
        <v>32</v>
      </c>
      <c r="D755" s="2">
        <v>40000</v>
      </c>
      <c r="E755" s="2" t="str">
        <f>IF(bike_buyers[[#This Row],[Income]]&lt;40000,"Under 40K", IF(bike_buyers[[#This Row],[Income]]&lt;60000,"40K-59K", IF(bike_buyers[[#This Row],[Income]]&lt;80000,"60K-79K", IF(bike_buyers[[#This Row],[Income]]&lt;100000,"80K-99K","100K+"))))</f>
        <v>40K-59K</v>
      </c>
      <c r="F755">
        <v>1</v>
      </c>
      <c r="G755" s="1" t="s">
        <v>12</v>
      </c>
      <c r="H755" s="1" t="s">
        <v>13</v>
      </c>
      <c r="I755" s="1" t="s">
        <v>17</v>
      </c>
      <c r="J755">
        <v>0</v>
      </c>
      <c r="K755" s="1" t="s">
        <v>15</v>
      </c>
      <c r="L755" s="1" t="s">
        <v>16</v>
      </c>
      <c r="M755">
        <v>43</v>
      </c>
      <c r="N755" s="1" t="str" cm="1">
        <f t="array" ref="N755">_xlfn.IFS(M755&lt;40, " Adult", M755&lt;60, "Middle Age", M755&gt;=60, "Older Adult")</f>
        <v>Middle Age</v>
      </c>
      <c r="O755" s="1" t="s">
        <v>14</v>
      </c>
      <c r="P755" s="1">
        <f>IF(O755="Yes", 1)</f>
        <v>1</v>
      </c>
      <c r="Q755" s="1"/>
    </row>
    <row r="756" spans="1:17" x14ac:dyDescent="0.25">
      <c r="A756">
        <v>26354</v>
      </c>
      <c r="B756" s="1" t="s">
        <v>34</v>
      </c>
      <c r="C756" s="1" t="s">
        <v>32</v>
      </c>
      <c r="D756" s="2">
        <v>40000</v>
      </c>
      <c r="E756" s="2" t="str">
        <f>IF(bike_buyers[[#This Row],[Income]]&lt;40000,"Under 40K", IF(bike_buyers[[#This Row],[Income]]&lt;60000,"40K-59K", IF(bike_buyers[[#This Row],[Income]]&lt;80000,"60K-79K", IF(bike_buyers[[#This Row],[Income]]&lt;100000,"80K-99K","100K+"))))</f>
        <v>40K-59K</v>
      </c>
      <c r="F756">
        <v>0</v>
      </c>
      <c r="G756" s="1" t="s">
        <v>29</v>
      </c>
      <c r="H756" s="1" t="s">
        <v>19</v>
      </c>
      <c r="I756" s="1" t="s">
        <v>17</v>
      </c>
      <c r="J756">
        <v>0</v>
      </c>
      <c r="K756" s="1" t="s">
        <v>15</v>
      </c>
      <c r="L756" s="1" t="s">
        <v>16</v>
      </c>
      <c r="M756">
        <v>38</v>
      </c>
      <c r="N756" s="1" t="str" cm="1">
        <f t="array" ref="N756">_xlfn.IFS(M756&lt;40, " Adult", M756&lt;60, "Middle Age", M756&gt;=60, "Older Adult")</f>
        <v xml:space="preserve"> Adult</v>
      </c>
      <c r="O756" s="1" t="s">
        <v>14</v>
      </c>
      <c r="P756" s="1">
        <f>IF(O756="Yes", 1)</f>
        <v>1</v>
      </c>
      <c r="Q756" s="1"/>
    </row>
    <row r="757" spans="1:17" x14ac:dyDescent="0.25">
      <c r="A757">
        <v>13687</v>
      </c>
      <c r="B757" s="1" t="s">
        <v>31</v>
      </c>
      <c r="C757" s="1" t="s">
        <v>32</v>
      </c>
      <c r="D757" s="2">
        <v>40000</v>
      </c>
      <c r="E757" s="2" t="str">
        <f>IF(bike_buyers[[#This Row],[Income]]&lt;40000,"Under 40K", IF(bike_buyers[[#This Row],[Income]]&lt;60000,"40K-59K", IF(bike_buyers[[#This Row],[Income]]&lt;80000,"60K-79K", IF(bike_buyers[[#This Row],[Income]]&lt;100000,"80K-99K","100K+"))))</f>
        <v>40K-59K</v>
      </c>
      <c r="F757">
        <v>1</v>
      </c>
      <c r="G757" s="1" t="s">
        <v>12</v>
      </c>
      <c r="H757" s="1" t="s">
        <v>13</v>
      </c>
      <c r="I757" s="1" t="s">
        <v>14</v>
      </c>
      <c r="J757">
        <v>1</v>
      </c>
      <c r="K757" s="1" t="s">
        <v>15</v>
      </c>
      <c r="L757" s="1" t="s">
        <v>16</v>
      </c>
      <c r="M757">
        <v>33</v>
      </c>
      <c r="N757" s="1" t="str" cm="1">
        <f t="array" ref="N757">_xlfn.IFS(M757&lt;40, " Adult", M757&lt;60, "Middle Age", M757&gt;=60, "Older Adult")</f>
        <v xml:space="preserve"> Adult</v>
      </c>
      <c r="O757" s="1" t="s">
        <v>14</v>
      </c>
      <c r="P757" s="1">
        <f>IF(O757="Yes", 1)</f>
        <v>1</v>
      </c>
      <c r="Q757" s="1"/>
    </row>
    <row r="758" spans="1:17" x14ac:dyDescent="0.25">
      <c r="A758">
        <v>23571</v>
      </c>
      <c r="B758" s="1" t="s">
        <v>31</v>
      </c>
      <c r="C758" s="1" t="s">
        <v>33</v>
      </c>
      <c r="D758" s="2">
        <v>40000</v>
      </c>
      <c r="E758" s="2" t="str">
        <f>IF(bike_buyers[[#This Row],[Income]]&lt;40000,"Under 40K", IF(bike_buyers[[#This Row],[Income]]&lt;60000,"40K-59K", IF(bike_buyers[[#This Row],[Income]]&lt;80000,"60K-79K", IF(bike_buyers[[#This Row],[Income]]&lt;100000,"80K-99K","100K+"))))</f>
        <v>40K-59K</v>
      </c>
      <c r="F758">
        <v>2</v>
      </c>
      <c r="G758" s="1" t="s">
        <v>12</v>
      </c>
      <c r="H758" s="1" t="s">
        <v>27</v>
      </c>
      <c r="I758" s="1" t="s">
        <v>14</v>
      </c>
      <c r="J758">
        <v>2</v>
      </c>
      <c r="K758" s="1" t="s">
        <v>15</v>
      </c>
      <c r="L758" s="1" t="s">
        <v>23</v>
      </c>
      <c r="M758">
        <v>66</v>
      </c>
      <c r="N758" s="1" t="str" cm="1">
        <f t="array" ref="N758">_xlfn.IFS(M758&lt;40, " Adult", M758&lt;60, "Middle Age", M758&gt;=60, "Older Adult")</f>
        <v>Older Adult</v>
      </c>
      <c r="O758" s="1" t="s">
        <v>14</v>
      </c>
      <c r="P758" s="1">
        <f>IF(O758="Yes", 1)</f>
        <v>1</v>
      </c>
      <c r="Q758" s="1"/>
    </row>
    <row r="759" spans="1:17" x14ac:dyDescent="0.25">
      <c r="A759">
        <v>22636</v>
      </c>
      <c r="B759" s="1" t="s">
        <v>34</v>
      </c>
      <c r="C759" s="1" t="s">
        <v>33</v>
      </c>
      <c r="D759" s="2">
        <v>40000</v>
      </c>
      <c r="E759" s="2" t="str">
        <f>IF(bike_buyers[[#This Row],[Income]]&lt;40000,"Under 40K", IF(bike_buyers[[#This Row],[Income]]&lt;60000,"40K-59K", IF(bike_buyers[[#This Row],[Income]]&lt;80000,"60K-79K", IF(bike_buyers[[#This Row],[Income]]&lt;100000,"80K-99K","100K+"))))</f>
        <v>40K-59K</v>
      </c>
      <c r="F759">
        <v>0</v>
      </c>
      <c r="G759" s="1" t="s">
        <v>12</v>
      </c>
      <c r="H759" s="1" t="s">
        <v>19</v>
      </c>
      <c r="I759" s="1" t="s">
        <v>17</v>
      </c>
      <c r="J759">
        <v>0</v>
      </c>
      <c r="K759" s="1" t="s">
        <v>15</v>
      </c>
      <c r="L759" s="1" t="s">
        <v>16</v>
      </c>
      <c r="M759">
        <v>38</v>
      </c>
      <c r="N759" s="1" t="str" cm="1">
        <f t="array" ref="N759">_xlfn.IFS(M759&lt;40, " Adult", M759&lt;60, "Middle Age", M759&gt;=60, "Older Adult")</f>
        <v xml:space="preserve"> Adult</v>
      </c>
      <c r="O759" s="1" t="s">
        <v>14</v>
      </c>
      <c r="P759" s="1">
        <f>IF(O759="Yes", 1)</f>
        <v>1</v>
      </c>
      <c r="Q759" s="1"/>
    </row>
    <row r="760" spans="1:17" x14ac:dyDescent="0.25">
      <c r="A760">
        <v>12510</v>
      </c>
      <c r="B760" s="1" t="s">
        <v>31</v>
      </c>
      <c r="C760" s="1" t="s">
        <v>32</v>
      </c>
      <c r="D760" s="2">
        <v>40000</v>
      </c>
      <c r="E760" s="2" t="str">
        <f>IF(bike_buyers[[#This Row],[Income]]&lt;40000,"Under 40K", IF(bike_buyers[[#This Row],[Income]]&lt;60000,"40K-59K", IF(bike_buyers[[#This Row],[Income]]&lt;80000,"60K-79K", IF(bike_buyers[[#This Row],[Income]]&lt;100000,"80K-99K","100K+"))))</f>
        <v>40K-59K</v>
      </c>
      <c r="F760">
        <v>1</v>
      </c>
      <c r="G760" s="1" t="s">
        <v>12</v>
      </c>
      <c r="H760" s="1" t="s">
        <v>13</v>
      </c>
      <c r="I760" s="1" t="s">
        <v>14</v>
      </c>
      <c r="J760">
        <v>1</v>
      </c>
      <c r="K760" s="1" t="s">
        <v>15</v>
      </c>
      <c r="L760" s="1" t="s">
        <v>16</v>
      </c>
      <c r="M760">
        <v>43</v>
      </c>
      <c r="N760" s="1" t="str" cm="1">
        <f t="array" ref="N760">_xlfn.IFS(M760&lt;40, " Adult", M760&lt;60, "Middle Age", M760&gt;=60, "Older Adult")</f>
        <v>Middle Age</v>
      </c>
      <c r="O760" s="1" t="s">
        <v>14</v>
      </c>
      <c r="P760" s="1">
        <f>IF(O760="Yes", 1)</f>
        <v>1</v>
      </c>
      <c r="Q760" s="1"/>
    </row>
    <row r="761" spans="1:17" x14ac:dyDescent="0.25">
      <c r="A761">
        <v>15628</v>
      </c>
      <c r="B761" s="1" t="s">
        <v>31</v>
      </c>
      <c r="C761" s="1" t="s">
        <v>33</v>
      </c>
      <c r="D761" s="2">
        <v>40000</v>
      </c>
      <c r="E761" s="2" t="str">
        <f>IF(bike_buyers[[#This Row],[Income]]&lt;40000,"Under 40K", IF(bike_buyers[[#This Row],[Income]]&lt;60000,"40K-59K", IF(bike_buyers[[#This Row],[Income]]&lt;80000,"60K-79K", IF(bike_buyers[[#This Row],[Income]]&lt;100000,"80K-99K","100K+"))))</f>
        <v>40K-59K</v>
      </c>
      <c r="F761">
        <v>1</v>
      </c>
      <c r="G761" s="1" t="s">
        <v>12</v>
      </c>
      <c r="H761" s="1" t="s">
        <v>13</v>
      </c>
      <c r="I761" s="1" t="s">
        <v>14</v>
      </c>
      <c r="J761">
        <v>1</v>
      </c>
      <c r="K761" s="1" t="s">
        <v>15</v>
      </c>
      <c r="L761" s="1" t="s">
        <v>16</v>
      </c>
      <c r="M761">
        <v>89</v>
      </c>
      <c r="N761" s="1" t="str" cm="1">
        <f t="array" ref="N761">_xlfn.IFS(M761&lt;40, " Adult", M761&lt;60, "Middle Age", M761&gt;=60, "Older Adult")</f>
        <v>Older Adult</v>
      </c>
      <c r="O761" s="1" t="s">
        <v>17</v>
      </c>
      <c r="P761" s="1" t="b">
        <f>IF(O761="Yes", 1)</f>
        <v>0</v>
      </c>
      <c r="Q761" s="1"/>
    </row>
    <row r="762" spans="1:17" x14ac:dyDescent="0.25">
      <c r="A762">
        <v>17978</v>
      </c>
      <c r="B762" s="1" t="s">
        <v>31</v>
      </c>
      <c r="C762" s="1" t="s">
        <v>32</v>
      </c>
      <c r="D762" s="2">
        <v>40000</v>
      </c>
      <c r="E762" s="2" t="str">
        <f>IF(bike_buyers[[#This Row],[Income]]&lt;40000,"Under 40K", IF(bike_buyers[[#This Row],[Income]]&lt;60000,"40K-59K", IF(bike_buyers[[#This Row],[Income]]&lt;80000,"60K-79K", IF(bike_buyers[[#This Row],[Income]]&lt;100000,"80K-99K","100K+"))))</f>
        <v>40K-59K</v>
      </c>
      <c r="F762">
        <v>0</v>
      </c>
      <c r="G762" s="1" t="s">
        <v>29</v>
      </c>
      <c r="H762" s="1" t="s">
        <v>19</v>
      </c>
      <c r="I762" s="1" t="s">
        <v>14</v>
      </c>
      <c r="J762">
        <v>0</v>
      </c>
      <c r="K762" s="1" t="s">
        <v>15</v>
      </c>
      <c r="L762" s="1" t="s">
        <v>16</v>
      </c>
      <c r="M762">
        <v>37</v>
      </c>
      <c r="N762" s="1" t="str" cm="1">
        <f t="array" ref="N762">_xlfn.IFS(M762&lt;40, " Adult", M762&lt;60, "Middle Age", M762&gt;=60, "Older Adult")</f>
        <v xml:space="preserve"> Adult</v>
      </c>
      <c r="O762" s="1" t="s">
        <v>14</v>
      </c>
      <c r="P762" s="1">
        <f>IF(O762="Yes", 1)</f>
        <v>1</v>
      </c>
      <c r="Q762" s="1"/>
    </row>
    <row r="763" spans="1:17" x14ac:dyDescent="0.25">
      <c r="A763">
        <v>17793</v>
      </c>
      <c r="B763" s="1" t="s">
        <v>31</v>
      </c>
      <c r="C763" s="1" t="s">
        <v>33</v>
      </c>
      <c r="D763" s="2">
        <v>40000</v>
      </c>
      <c r="E763" s="2" t="str">
        <f>IF(bike_buyers[[#This Row],[Income]]&lt;40000,"Under 40K", IF(bike_buyers[[#This Row],[Income]]&lt;60000,"40K-59K", IF(bike_buyers[[#This Row],[Income]]&lt;80000,"60K-79K", IF(bike_buyers[[#This Row],[Income]]&lt;100000,"80K-99K","100K+"))))</f>
        <v>40K-59K</v>
      </c>
      <c r="F763">
        <v>0</v>
      </c>
      <c r="G763" s="1" t="s">
        <v>12</v>
      </c>
      <c r="H763" s="1" t="s">
        <v>19</v>
      </c>
      <c r="I763" s="1" t="s">
        <v>14</v>
      </c>
      <c r="J763">
        <v>0</v>
      </c>
      <c r="K763" s="1" t="s">
        <v>15</v>
      </c>
      <c r="L763" s="1" t="s">
        <v>16</v>
      </c>
      <c r="M763">
        <v>38</v>
      </c>
      <c r="N763" s="1" t="str" cm="1">
        <f t="array" ref="N763">_xlfn.IFS(M763&lt;40, " Adult", M763&lt;60, "Middle Age", M763&gt;=60, "Older Adult")</f>
        <v xml:space="preserve"> Adult</v>
      </c>
      <c r="O763" s="1" t="s">
        <v>14</v>
      </c>
      <c r="P763" s="1">
        <f>IF(O763="Yes", 1)</f>
        <v>1</v>
      </c>
      <c r="Q763" s="1"/>
    </row>
    <row r="764" spans="1:17" x14ac:dyDescent="0.25">
      <c r="A764">
        <v>26167</v>
      </c>
      <c r="B764" s="1" t="s">
        <v>34</v>
      </c>
      <c r="C764" s="1" t="s">
        <v>33</v>
      </c>
      <c r="D764" s="2">
        <v>40000</v>
      </c>
      <c r="E764" s="2" t="str">
        <f>IF(bike_buyers[[#This Row],[Income]]&lt;40000,"Under 40K", IF(bike_buyers[[#This Row],[Income]]&lt;60000,"40K-59K", IF(bike_buyers[[#This Row],[Income]]&lt;80000,"60K-79K", IF(bike_buyers[[#This Row],[Income]]&lt;100000,"80K-99K","100K+"))))</f>
        <v>40K-59K</v>
      </c>
      <c r="F764">
        <v>2</v>
      </c>
      <c r="G764" s="1" t="s">
        <v>12</v>
      </c>
      <c r="H764" s="1" t="s">
        <v>27</v>
      </c>
      <c r="I764" s="1" t="s">
        <v>17</v>
      </c>
      <c r="J764">
        <v>1</v>
      </c>
      <c r="K764" s="1" t="s">
        <v>22</v>
      </c>
      <c r="L764" s="1" t="s">
        <v>23</v>
      </c>
      <c r="M764">
        <v>53</v>
      </c>
      <c r="N764" s="1" t="str" cm="1">
        <f t="array" ref="N764">_xlfn.IFS(M764&lt;40, " Adult", M764&lt;60, "Middle Age", M764&gt;=60, "Older Adult")</f>
        <v>Middle Age</v>
      </c>
      <c r="O764" s="1" t="s">
        <v>14</v>
      </c>
      <c r="P764" s="1">
        <f>IF(O764="Yes", 1)</f>
        <v>1</v>
      </c>
      <c r="Q764" s="1"/>
    </row>
    <row r="765" spans="1:17" x14ac:dyDescent="0.25">
      <c r="A765">
        <v>11555</v>
      </c>
      <c r="B765" s="1" t="s">
        <v>31</v>
      </c>
      <c r="C765" s="1" t="s">
        <v>33</v>
      </c>
      <c r="D765" s="2">
        <v>40000</v>
      </c>
      <c r="E765" s="2" t="str">
        <f>IF(bike_buyers[[#This Row],[Income]]&lt;40000,"Under 40K", IF(bike_buyers[[#This Row],[Income]]&lt;60000,"40K-59K", IF(bike_buyers[[#This Row],[Income]]&lt;80000,"60K-79K", IF(bike_buyers[[#This Row],[Income]]&lt;100000,"80K-99K","100K+"))))</f>
        <v>40K-59K</v>
      </c>
      <c r="F765">
        <v>1</v>
      </c>
      <c r="G765" s="1" t="s">
        <v>12</v>
      </c>
      <c r="H765" s="1" t="s">
        <v>19</v>
      </c>
      <c r="I765" s="1" t="s">
        <v>14</v>
      </c>
      <c r="J765">
        <v>0</v>
      </c>
      <c r="K765" s="1" t="s">
        <v>15</v>
      </c>
      <c r="L765" s="1" t="s">
        <v>16</v>
      </c>
      <c r="M765">
        <v>80</v>
      </c>
      <c r="N765" s="1" t="str" cm="1">
        <f t="array" ref="N765">_xlfn.IFS(M765&lt;40, " Adult", M765&lt;60, "Middle Age", M765&gt;=60, "Older Adult")</f>
        <v>Older Adult</v>
      </c>
      <c r="O765" s="1" t="s">
        <v>17</v>
      </c>
      <c r="P765" s="1" t="b">
        <f>IF(O765="Yes", 1)</f>
        <v>0</v>
      </c>
      <c r="Q765" s="1"/>
    </row>
    <row r="766" spans="1:17" x14ac:dyDescent="0.25">
      <c r="A766">
        <v>18012</v>
      </c>
      <c r="B766" s="1" t="s">
        <v>31</v>
      </c>
      <c r="C766" s="1" t="s">
        <v>33</v>
      </c>
      <c r="D766" s="2">
        <v>40000</v>
      </c>
      <c r="E766" s="2" t="str">
        <f>IF(bike_buyers[[#This Row],[Income]]&lt;40000,"Under 40K", IF(bike_buyers[[#This Row],[Income]]&lt;60000,"40K-59K", IF(bike_buyers[[#This Row],[Income]]&lt;80000,"60K-79K", IF(bike_buyers[[#This Row],[Income]]&lt;100000,"80K-99K","100K+"))))</f>
        <v>40K-59K</v>
      </c>
      <c r="F766">
        <v>1</v>
      </c>
      <c r="G766" s="1" t="s">
        <v>12</v>
      </c>
      <c r="H766" s="1" t="s">
        <v>13</v>
      </c>
      <c r="I766" s="1" t="s">
        <v>14</v>
      </c>
      <c r="J766">
        <v>0</v>
      </c>
      <c r="K766" s="1" t="s">
        <v>15</v>
      </c>
      <c r="L766" s="1" t="s">
        <v>16</v>
      </c>
      <c r="M766">
        <v>41</v>
      </c>
      <c r="N766" s="1" t="str" cm="1">
        <f t="array" ref="N766">_xlfn.IFS(M766&lt;40, " Adult", M766&lt;60, "Middle Age", M766&gt;=60, "Older Adult")</f>
        <v>Middle Age</v>
      </c>
      <c r="O766" s="1" t="s">
        <v>17</v>
      </c>
      <c r="P766" s="1" t="b">
        <f>IF(O766="Yes", 1)</f>
        <v>0</v>
      </c>
      <c r="Q766" s="1"/>
    </row>
    <row r="767" spans="1:17" x14ac:dyDescent="0.25">
      <c r="A767">
        <v>12744</v>
      </c>
      <c r="B767" s="1" t="s">
        <v>34</v>
      </c>
      <c r="C767" s="1" t="s">
        <v>33</v>
      </c>
      <c r="D767" s="2">
        <v>40000</v>
      </c>
      <c r="E767" s="2" t="str">
        <f>IF(bike_buyers[[#This Row],[Income]]&lt;40000,"Under 40K", IF(bike_buyers[[#This Row],[Income]]&lt;60000,"40K-59K", IF(bike_buyers[[#This Row],[Income]]&lt;80000,"60K-79K", IF(bike_buyers[[#This Row],[Income]]&lt;100000,"80K-99K","100K+"))))</f>
        <v>40K-59K</v>
      </c>
      <c r="F767">
        <v>2</v>
      </c>
      <c r="G767" s="1" t="s">
        <v>18</v>
      </c>
      <c r="H767" s="1" t="s">
        <v>19</v>
      </c>
      <c r="I767" s="1" t="s">
        <v>14</v>
      </c>
      <c r="J767">
        <v>0</v>
      </c>
      <c r="K767" s="1" t="s">
        <v>15</v>
      </c>
      <c r="L767" s="1" t="s">
        <v>16</v>
      </c>
      <c r="M767">
        <v>33</v>
      </c>
      <c r="N767" s="1" t="str" cm="1">
        <f t="array" ref="N767">_xlfn.IFS(M767&lt;40, " Adult", M767&lt;60, "Middle Age", M767&gt;=60, "Older Adult")</f>
        <v xml:space="preserve"> Adult</v>
      </c>
      <c r="O767" s="1" t="s">
        <v>17</v>
      </c>
      <c r="P767" s="1" t="b">
        <f>IF(O767="Yes", 1)</f>
        <v>0</v>
      </c>
      <c r="Q767" s="1"/>
    </row>
    <row r="768" spans="1:17" x14ac:dyDescent="0.25">
      <c r="A768">
        <v>20053</v>
      </c>
      <c r="B768" s="1" t="s">
        <v>34</v>
      </c>
      <c r="C768" s="1" t="s">
        <v>32</v>
      </c>
      <c r="D768" s="2">
        <v>40000</v>
      </c>
      <c r="E768" s="2" t="str">
        <f>IF(bike_buyers[[#This Row],[Income]]&lt;40000,"Under 40K", IF(bike_buyers[[#This Row],[Income]]&lt;60000,"40K-59K", IF(bike_buyers[[#This Row],[Income]]&lt;80000,"60K-79K", IF(bike_buyers[[#This Row],[Income]]&lt;100000,"80K-99K","100K+"))))</f>
        <v>40K-59K</v>
      </c>
      <c r="F768">
        <v>2</v>
      </c>
      <c r="G768" s="1" t="s">
        <v>18</v>
      </c>
      <c r="H768" s="1" t="s">
        <v>19</v>
      </c>
      <c r="I768" s="1" t="s">
        <v>14</v>
      </c>
      <c r="J768">
        <v>0</v>
      </c>
      <c r="K768" s="1" t="s">
        <v>15</v>
      </c>
      <c r="L768" s="1" t="s">
        <v>16</v>
      </c>
      <c r="M768">
        <v>34</v>
      </c>
      <c r="N768" s="1" t="str" cm="1">
        <f t="array" ref="N768">_xlfn.IFS(M768&lt;40, " Adult", M768&lt;60, "Middle Age", M768&gt;=60, "Older Adult")</f>
        <v xml:space="preserve"> Adult</v>
      </c>
      <c r="O768" s="1" t="s">
        <v>17</v>
      </c>
      <c r="P768" s="1" t="b">
        <f>IF(O768="Yes", 1)</f>
        <v>0</v>
      </c>
      <c r="Q768" s="1"/>
    </row>
    <row r="769" spans="1:17" x14ac:dyDescent="0.25">
      <c r="A769">
        <v>17960</v>
      </c>
      <c r="B769" s="1" t="s">
        <v>31</v>
      </c>
      <c r="C769" s="1" t="s">
        <v>33</v>
      </c>
      <c r="D769" s="2">
        <v>40000</v>
      </c>
      <c r="E769" s="2" t="str">
        <f>IF(bike_buyers[[#This Row],[Income]]&lt;40000,"Under 40K", IF(bike_buyers[[#This Row],[Income]]&lt;60000,"40K-59K", IF(bike_buyers[[#This Row],[Income]]&lt;80000,"60K-79K", IF(bike_buyers[[#This Row],[Income]]&lt;100000,"80K-99K","100K+"))))</f>
        <v>40K-59K</v>
      </c>
      <c r="F769">
        <v>0</v>
      </c>
      <c r="G769" s="1" t="s">
        <v>29</v>
      </c>
      <c r="H769" s="1" t="s">
        <v>19</v>
      </c>
      <c r="I769" s="1" t="s">
        <v>14</v>
      </c>
      <c r="J769">
        <v>0</v>
      </c>
      <c r="K769" s="1" t="s">
        <v>15</v>
      </c>
      <c r="L769" s="1" t="s">
        <v>16</v>
      </c>
      <c r="M769">
        <v>35</v>
      </c>
      <c r="N769" s="1" t="str" cm="1">
        <f t="array" ref="N769">_xlfn.IFS(M769&lt;40, " Adult", M769&lt;60, "Middle Age", M769&gt;=60, "Older Adult")</f>
        <v xml:space="preserve"> Adult</v>
      </c>
      <c r="O769" s="1" t="s">
        <v>14</v>
      </c>
      <c r="P769" s="1">
        <f>IF(O769="Yes", 1)</f>
        <v>1</v>
      </c>
      <c r="Q769" s="1"/>
    </row>
    <row r="770" spans="1:17" x14ac:dyDescent="0.25">
      <c r="A770">
        <v>15822</v>
      </c>
      <c r="B770" s="1" t="s">
        <v>31</v>
      </c>
      <c r="C770" s="1" t="s">
        <v>32</v>
      </c>
      <c r="D770" s="2">
        <v>40000</v>
      </c>
      <c r="E770" s="2" t="str">
        <f>IF(bike_buyers[[#This Row],[Income]]&lt;40000,"Under 40K", IF(bike_buyers[[#This Row],[Income]]&lt;60000,"40K-59K", IF(bike_buyers[[#This Row],[Income]]&lt;80000,"60K-79K", IF(bike_buyers[[#This Row],[Income]]&lt;100000,"80K-99K","100K+"))))</f>
        <v>40K-59K</v>
      </c>
      <c r="F770">
        <v>2</v>
      </c>
      <c r="G770" s="1" t="s">
        <v>12</v>
      </c>
      <c r="H770" s="1" t="s">
        <v>27</v>
      </c>
      <c r="I770" s="1" t="s">
        <v>14</v>
      </c>
      <c r="J770">
        <v>2</v>
      </c>
      <c r="K770" s="1" t="s">
        <v>15</v>
      </c>
      <c r="L770" s="1" t="s">
        <v>23</v>
      </c>
      <c r="M770">
        <v>67</v>
      </c>
      <c r="N770" s="1" t="str" cm="1">
        <f t="array" ref="N770">_xlfn.IFS(M770&lt;40, " Adult", M770&lt;60, "Middle Age", M770&gt;=60, "Older Adult")</f>
        <v>Older Adult</v>
      </c>
      <c r="O770" s="1" t="s">
        <v>17</v>
      </c>
      <c r="P770" s="1" t="b">
        <f>IF(O770="Yes", 1)</f>
        <v>0</v>
      </c>
      <c r="Q770" s="1"/>
    </row>
    <row r="771" spans="1:17" x14ac:dyDescent="0.25">
      <c r="A771">
        <v>21108</v>
      </c>
      <c r="B771" s="1" t="s">
        <v>31</v>
      </c>
      <c r="C771" s="1" t="s">
        <v>33</v>
      </c>
      <c r="D771" s="2">
        <v>40000</v>
      </c>
      <c r="E771" s="2" t="str">
        <f>IF(bike_buyers[[#This Row],[Income]]&lt;40000,"Under 40K", IF(bike_buyers[[#This Row],[Income]]&lt;60000,"40K-59K", IF(bike_buyers[[#This Row],[Income]]&lt;80000,"60K-79K", IF(bike_buyers[[#This Row],[Income]]&lt;100000,"80K-99K","100K+"))))</f>
        <v>40K-59K</v>
      </c>
      <c r="F771">
        <v>1</v>
      </c>
      <c r="G771" s="1" t="s">
        <v>12</v>
      </c>
      <c r="H771" s="1" t="s">
        <v>13</v>
      </c>
      <c r="I771" s="1" t="s">
        <v>14</v>
      </c>
      <c r="J771">
        <v>1</v>
      </c>
      <c r="K771" s="1" t="s">
        <v>15</v>
      </c>
      <c r="L771" s="1" t="s">
        <v>16</v>
      </c>
      <c r="M771">
        <v>43</v>
      </c>
      <c r="N771" s="1" t="str" cm="1">
        <f t="array" ref="N771">_xlfn.IFS(M771&lt;40, " Adult", M771&lt;60, "Middle Age", M771&gt;=60, "Older Adult")</f>
        <v>Middle Age</v>
      </c>
      <c r="O771" s="1" t="s">
        <v>14</v>
      </c>
      <c r="P771" s="1">
        <f>IF(O771="Yes", 1)</f>
        <v>1</v>
      </c>
      <c r="Q771" s="1"/>
    </row>
    <row r="772" spans="1:17" x14ac:dyDescent="0.25">
      <c r="A772">
        <v>25307</v>
      </c>
      <c r="B772" s="1" t="s">
        <v>31</v>
      </c>
      <c r="C772" s="1" t="s">
        <v>33</v>
      </c>
      <c r="D772" s="2">
        <v>40000</v>
      </c>
      <c r="E772" s="2" t="str">
        <f>IF(bike_buyers[[#This Row],[Income]]&lt;40000,"Under 40K", IF(bike_buyers[[#This Row],[Income]]&lt;60000,"40K-59K", IF(bike_buyers[[#This Row],[Income]]&lt;80000,"60K-79K", IF(bike_buyers[[#This Row],[Income]]&lt;100000,"80K-99K","100K+"))))</f>
        <v>40K-59K</v>
      </c>
      <c r="F772">
        <v>1</v>
      </c>
      <c r="G772" s="1" t="s">
        <v>12</v>
      </c>
      <c r="H772" s="1" t="s">
        <v>13</v>
      </c>
      <c r="I772" s="1" t="s">
        <v>14</v>
      </c>
      <c r="J772">
        <v>1</v>
      </c>
      <c r="K772" s="1" t="s">
        <v>25</v>
      </c>
      <c r="L772" s="1" t="s">
        <v>16</v>
      </c>
      <c r="M772">
        <v>32</v>
      </c>
      <c r="N772" s="1" t="str" cm="1">
        <f t="array" ref="N772">_xlfn.IFS(M772&lt;40, " Adult", M772&lt;60, "Middle Age", M772&gt;=60, "Older Adult")</f>
        <v xml:space="preserve"> Adult</v>
      </c>
      <c r="O772" s="1" t="s">
        <v>14</v>
      </c>
      <c r="P772" s="1">
        <f>IF(O772="Yes", 1)</f>
        <v>1</v>
      </c>
      <c r="Q772" s="1"/>
    </row>
    <row r="773" spans="1:17" x14ac:dyDescent="0.25">
      <c r="A773">
        <v>20711</v>
      </c>
      <c r="B773" s="1" t="s">
        <v>31</v>
      </c>
      <c r="C773" s="1" t="s">
        <v>33</v>
      </c>
      <c r="D773" s="2">
        <v>40000</v>
      </c>
      <c r="E773" s="2" t="str">
        <f>IF(bike_buyers[[#This Row],[Income]]&lt;40000,"Under 40K", IF(bike_buyers[[#This Row],[Income]]&lt;60000,"40K-59K", IF(bike_buyers[[#This Row],[Income]]&lt;80000,"60K-79K", IF(bike_buyers[[#This Row],[Income]]&lt;100000,"80K-99K","100K+"))))</f>
        <v>40K-59K</v>
      </c>
      <c r="F773">
        <v>1</v>
      </c>
      <c r="G773" s="1" t="s">
        <v>12</v>
      </c>
      <c r="H773" s="1" t="s">
        <v>13</v>
      </c>
      <c r="I773" s="1" t="s">
        <v>14</v>
      </c>
      <c r="J773">
        <v>0</v>
      </c>
      <c r="K773" s="1" t="s">
        <v>25</v>
      </c>
      <c r="L773" s="1" t="s">
        <v>16</v>
      </c>
      <c r="M773">
        <v>32</v>
      </c>
      <c r="N773" s="1" t="str" cm="1">
        <f t="array" ref="N773">_xlfn.IFS(M773&lt;40, " Adult", M773&lt;60, "Middle Age", M773&gt;=60, "Older Adult")</f>
        <v xml:space="preserve"> Adult</v>
      </c>
      <c r="O773" s="1" t="s">
        <v>14</v>
      </c>
      <c r="P773" s="1">
        <f>IF(O773="Yes", 1)</f>
        <v>1</v>
      </c>
      <c r="Q773" s="1"/>
    </row>
    <row r="774" spans="1:17" x14ac:dyDescent="0.25">
      <c r="A774">
        <v>12497</v>
      </c>
      <c r="B774" s="1" t="s">
        <v>31</v>
      </c>
      <c r="C774" s="1" t="s">
        <v>33</v>
      </c>
      <c r="D774" s="2">
        <v>40000</v>
      </c>
      <c r="E774" s="2" t="str">
        <f>IF(bike_buyers[[#This Row],[Income]]&lt;40000,"Under 40K", IF(bike_buyers[[#This Row],[Income]]&lt;60000,"40K-59K", IF(bike_buyers[[#This Row],[Income]]&lt;80000,"60K-79K", IF(bike_buyers[[#This Row],[Income]]&lt;100000,"80K-99K","100K+"))))</f>
        <v>40K-59K</v>
      </c>
      <c r="F774">
        <v>1</v>
      </c>
      <c r="G774" s="1" t="s">
        <v>12</v>
      </c>
      <c r="H774" s="1" t="s">
        <v>13</v>
      </c>
      <c r="I774" s="1" t="s">
        <v>14</v>
      </c>
      <c r="J774">
        <v>0</v>
      </c>
      <c r="K774" s="1" t="s">
        <v>15</v>
      </c>
      <c r="L774" s="1" t="s">
        <v>16</v>
      </c>
      <c r="M774">
        <v>42</v>
      </c>
      <c r="N774" s="1" t="str" cm="1">
        <f t="array" ref="N774">_xlfn.IFS(M774&lt;40, " Adult", M774&lt;60, "Middle Age", M774&gt;=60, "Older Adult")</f>
        <v>Middle Age</v>
      </c>
      <c r="O774" s="1" t="s">
        <v>17</v>
      </c>
      <c r="P774" s="1" t="b">
        <f>IF(O774="Yes", 1)</f>
        <v>0</v>
      </c>
      <c r="Q774" s="1"/>
    </row>
    <row r="775" spans="1:17" x14ac:dyDescent="0.25">
      <c r="A775">
        <v>11585</v>
      </c>
      <c r="B775" s="1" t="s">
        <v>31</v>
      </c>
      <c r="C775" s="1" t="s">
        <v>33</v>
      </c>
      <c r="D775" s="2">
        <v>40000</v>
      </c>
      <c r="E775" s="2" t="str">
        <f>IF(bike_buyers[[#This Row],[Income]]&lt;40000,"Under 40K", IF(bike_buyers[[#This Row],[Income]]&lt;60000,"40K-59K", IF(bike_buyers[[#This Row],[Income]]&lt;80000,"60K-79K", IF(bike_buyers[[#This Row],[Income]]&lt;100000,"80K-99K","100K+"))))</f>
        <v>40K-59K</v>
      </c>
      <c r="F775">
        <v>1</v>
      </c>
      <c r="G775" s="1" t="s">
        <v>12</v>
      </c>
      <c r="H775" s="1" t="s">
        <v>13</v>
      </c>
      <c r="I775" s="1" t="s">
        <v>14</v>
      </c>
      <c r="J775">
        <v>0</v>
      </c>
      <c r="K775" s="1" t="s">
        <v>15</v>
      </c>
      <c r="L775" s="1" t="s">
        <v>16</v>
      </c>
      <c r="M775">
        <v>41</v>
      </c>
      <c r="N775" s="1" t="str" cm="1">
        <f t="array" ref="N775">_xlfn.IFS(M775&lt;40, " Adult", M775&lt;60, "Middle Age", M775&gt;=60, "Older Adult")</f>
        <v>Middle Age</v>
      </c>
      <c r="O775" s="1" t="s">
        <v>17</v>
      </c>
      <c r="P775" s="1" t="b">
        <f>IF(O775="Yes", 1)</f>
        <v>0</v>
      </c>
      <c r="Q775" s="1"/>
    </row>
    <row r="776" spans="1:17" x14ac:dyDescent="0.25">
      <c r="A776">
        <v>14791</v>
      </c>
      <c r="B776" s="1" t="s">
        <v>31</v>
      </c>
      <c r="C776" s="1" t="s">
        <v>33</v>
      </c>
      <c r="D776" s="2">
        <v>40000</v>
      </c>
      <c r="E776" s="2" t="str">
        <f>IF(bike_buyers[[#This Row],[Income]]&lt;40000,"Under 40K", IF(bike_buyers[[#This Row],[Income]]&lt;60000,"40K-59K", IF(bike_buyers[[#This Row],[Income]]&lt;80000,"60K-79K", IF(bike_buyers[[#This Row],[Income]]&lt;100000,"80K-99K","100K+"))))</f>
        <v>40K-59K</v>
      </c>
      <c r="F776">
        <v>0</v>
      </c>
      <c r="G776" s="1" t="s">
        <v>12</v>
      </c>
      <c r="H776" s="1" t="s">
        <v>19</v>
      </c>
      <c r="I776" s="1" t="s">
        <v>14</v>
      </c>
      <c r="J776">
        <v>0</v>
      </c>
      <c r="K776" s="1" t="s">
        <v>15</v>
      </c>
      <c r="L776" s="1" t="s">
        <v>16</v>
      </c>
      <c r="M776">
        <v>39</v>
      </c>
      <c r="N776" s="1" t="str" cm="1">
        <f t="array" ref="N776">_xlfn.IFS(M776&lt;40, " Adult", M776&lt;60, "Middle Age", M776&gt;=60, "Older Adult")</f>
        <v xml:space="preserve"> Adult</v>
      </c>
      <c r="O776" s="1" t="s">
        <v>14</v>
      </c>
      <c r="P776" s="1">
        <f>IF(O776="Yes", 1)</f>
        <v>1</v>
      </c>
      <c r="Q776" s="1"/>
    </row>
    <row r="777" spans="1:17" x14ac:dyDescent="0.25">
      <c r="A777">
        <v>11149</v>
      </c>
      <c r="B777" s="1" t="s">
        <v>31</v>
      </c>
      <c r="C777" s="1" t="s">
        <v>32</v>
      </c>
      <c r="D777" s="2">
        <v>40000</v>
      </c>
      <c r="E777" s="2" t="str">
        <f>IF(bike_buyers[[#This Row],[Income]]&lt;40000,"Under 40K", IF(bike_buyers[[#This Row],[Income]]&lt;60000,"40K-59K", IF(bike_buyers[[#This Row],[Income]]&lt;80000,"60K-79K", IF(bike_buyers[[#This Row],[Income]]&lt;100000,"80K-99K","100K+"))))</f>
        <v>40K-59K</v>
      </c>
      <c r="F777">
        <v>2</v>
      </c>
      <c r="G777" s="1" t="s">
        <v>12</v>
      </c>
      <c r="H777" s="1" t="s">
        <v>27</v>
      </c>
      <c r="I777" s="1" t="s">
        <v>14</v>
      </c>
      <c r="J777">
        <v>2</v>
      </c>
      <c r="K777" s="1" t="s">
        <v>15</v>
      </c>
      <c r="L777" s="1" t="s">
        <v>23</v>
      </c>
      <c r="M777">
        <v>65</v>
      </c>
      <c r="N777" s="1" t="str" cm="1">
        <f t="array" ref="N777">_xlfn.IFS(M777&lt;40, " Adult", M777&lt;60, "Middle Age", M777&gt;=60, "Older Adult")</f>
        <v>Older Adult</v>
      </c>
      <c r="O777" s="1" t="s">
        <v>17</v>
      </c>
      <c r="P777" s="1" t="b">
        <f>IF(O777="Yes", 1)</f>
        <v>0</v>
      </c>
      <c r="Q777" s="1"/>
    </row>
    <row r="778" spans="1:17" x14ac:dyDescent="0.25">
      <c r="A778">
        <v>22634</v>
      </c>
      <c r="B778" s="1" t="s">
        <v>34</v>
      </c>
      <c r="C778" s="1" t="s">
        <v>33</v>
      </c>
      <c r="D778" s="2">
        <v>40000</v>
      </c>
      <c r="E778" s="2" t="str">
        <f>IF(bike_buyers[[#This Row],[Income]]&lt;40000,"Under 40K", IF(bike_buyers[[#This Row],[Income]]&lt;60000,"40K-59K", IF(bike_buyers[[#This Row],[Income]]&lt;80000,"60K-79K", IF(bike_buyers[[#This Row],[Income]]&lt;100000,"80K-99K","100K+"))))</f>
        <v>40K-59K</v>
      </c>
      <c r="F778">
        <v>0</v>
      </c>
      <c r="G778" s="1" t="s">
        <v>29</v>
      </c>
      <c r="H778" s="1" t="s">
        <v>19</v>
      </c>
      <c r="I778" s="1" t="s">
        <v>14</v>
      </c>
      <c r="J778">
        <v>0</v>
      </c>
      <c r="K778" s="1" t="s">
        <v>15</v>
      </c>
      <c r="L778" s="1" t="s">
        <v>16</v>
      </c>
      <c r="M778">
        <v>38</v>
      </c>
      <c r="N778" s="1" t="str" cm="1">
        <f t="array" ref="N778">_xlfn.IFS(M778&lt;40, " Adult", M778&lt;60, "Middle Age", M778&gt;=60, "Older Adult")</f>
        <v xml:space="preserve"> Adult</v>
      </c>
      <c r="O778" s="1" t="s">
        <v>14</v>
      </c>
      <c r="P778" s="1">
        <f>IF(O778="Yes", 1)</f>
        <v>1</v>
      </c>
      <c r="Q778" s="1"/>
    </row>
    <row r="779" spans="1:17" x14ac:dyDescent="0.25">
      <c r="A779">
        <v>26984</v>
      </c>
      <c r="B779" s="1" t="s">
        <v>31</v>
      </c>
      <c r="C779" s="1" t="s">
        <v>32</v>
      </c>
      <c r="D779" s="2">
        <v>40000</v>
      </c>
      <c r="E779" s="2" t="str">
        <f>IF(bike_buyers[[#This Row],[Income]]&lt;40000,"Under 40K", IF(bike_buyers[[#This Row],[Income]]&lt;60000,"40K-59K", IF(bike_buyers[[#This Row],[Income]]&lt;80000,"60K-79K", IF(bike_buyers[[#This Row],[Income]]&lt;100000,"80K-99K","100K+"))))</f>
        <v>40K-59K</v>
      </c>
      <c r="F779">
        <v>1</v>
      </c>
      <c r="G779" s="1" t="s">
        <v>12</v>
      </c>
      <c r="H779" s="1" t="s">
        <v>13</v>
      </c>
      <c r="I779" s="1" t="s">
        <v>14</v>
      </c>
      <c r="J779">
        <v>1</v>
      </c>
      <c r="K779" s="1" t="s">
        <v>15</v>
      </c>
      <c r="L779" s="1" t="s">
        <v>16</v>
      </c>
      <c r="M779">
        <v>32</v>
      </c>
      <c r="N779" s="1" t="str" cm="1">
        <f t="array" ref="N779">_xlfn.IFS(M779&lt;40, " Adult", M779&lt;60, "Middle Age", M779&gt;=60, "Older Adult")</f>
        <v xml:space="preserve"> Adult</v>
      </c>
      <c r="O779" s="1" t="s">
        <v>14</v>
      </c>
      <c r="P779" s="1">
        <f>IF(O779="Yes", 1)</f>
        <v>1</v>
      </c>
      <c r="Q779" s="1"/>
    </row>
    <row r="780" spans="1:17" x14ac:dyDescent="0.25">
      <c r="A780">
        <v>28564</v>
      </c>
      <c r="B780" s="1" t="s">
        <v>34</v>
      </c>
      <c r="C780" s="1" t="s">
        <v>33</v>
      </c>
      <c r="D780" s="2">
        <v>40000</v>
      </c>
      <c r="E780" s="2" t="str">
        <f>IF(bike_buyers[[#This Row],[Income]]&lt;40000,"Under 40K", IF(bike_buyers[[#This Row],[Income]]&lt;60000,"40K-59K", IF(bike_buyers[[#This Row],[Income]]&lt;80000,"60K-79K", IF(bike_buyers[[#This Row],[Income]]&lt;100000,"80K-99K","100K+"))))</f>
        <v>40K-59K</v>
      </c>
      <c r="F780">
        <v>2</v>
      </c>
      <c r="G780" s="1" t="s">
        <v>18</v>
      </c>
      <c r="H780" s="1" t="s">
        <v>19</v>
      </c>
      <c r="I780" s="1" t="s">
        <v>14</v>
      </c>
      <c r="J780">
        <v>0</v>
      </c>
      <c r="K780" s="1" t="s">
        <v>25</v>
      </c>
      <c r="L780" s="1" t="s">
        <v>16</v>
      </c>
      <c r="M780">
        <v>33</v>
      </c>
      <c r="N780" s="1" t="str" cm="1">
        <f t="array" ref="N780">_xlfn.IFS(M780&lt;40, " Adult", M780&lt;60, "Middle Age", M780&gt;=60, "Older Adult")</f>
        <v xml:space="preserve"> Adult</v>
      </c>
      <c r="O780" s="1" t="s">
        <v>14</v>
      </c>
      <c r="P780" s="1">
        <f>IF(O780="Yes", 1)</f>
        <v>1</v>
      </c>
      <c r="Q780" s="1"/>
    </row>
    <row r="781" spans="1:17" x14ac:dyDescent="0.25">
      <c r="A781">
        <v>28521</v>
      </c>
      <c r="B781" s="1" t="s">
        <v>34</v>
      </c>
      <c r="C781" s="1" t="s">
        <v>32</v>
      </c>
      <c r="D781" s="2">
        <v>40000</v>
      </c>
      <c r="E781" s="2" t="str">
        <f>IF(bike_buyers[[#This Row],[Income]]&lt;40000,"Under 40K", IF(bike_buyers[[#This Row],[Income]]&lt;60000,"40K-59K", IF(bike_buyers[[#This Row],[Income]]&lt;80000,"60K-79K", IF(bike_buyers[[#This Row],[Income]]&lt;100000,"80K-99K","100K+"))))</f>
        <v>40K-59K</v>
      </c>
      <c r="F781">
        <v>0</v>
      </c>
      <c r="G781" s="1" t="s">
        <v>29</v>
      </c>
      <c r="H781" s="1" t="s">
        <v>19</v>
      </c>
      <c r="I781" s="1" t="s">
        <v>17</v>
      </c>
      <c r="J781">
        <v>0</v>
      </c>
      <c r="K781" s="1" t="s">
        <v>15</v>
      </c>
      <c r="L781" s="1" t="s">
        <v>16</v>
      </c>
      <c r="M781">
        <v>36</v>
      </c>
      <c r="N781" s="1" t="str" cm="1">
        <f t="array" ref="N781">_xlfn.IFS(M781&lt;40, " Adult", M781&lt;60, "Middle Age", M781&gt;=60, "Older Adult")</f>
        <v xml:space="preserve"> Adult</v>
      </c>
      <c r="O781" s="1" t="s">
        <v>14</v>
      </c>
      <c r="P781" s="1">
        <f>IF(O781="Yes", 1)</f>
        <v>1</v>
      </c>
      <c r="Q781" s="1"/>
    </row>
    <row r="782" spans="1:17" x14ac:dyDescent="0.25">
      <c r="A782">
        <v>12821</v>
      </c>
      <c r="B782" s="1" t="s">
        <v>31</v>
      </c>
      <c r="C782" s="1" t="s">
        <v>32</v>
      </c>
      <c r="D782" s="2">
        <v>40000</v>
      </c>
      <c r="E782" s="2" t="str">
        <f>IF(bike_buyers[[#This Row],[Income]]&lt;40000,"Under 40K", IF(bike_buyers[[#This Row],[Income]]&lt;60000,"40K-59K", IF(bike_buyers[[#This Row],[Income]]&lt;80000,"60K-79K", IF(bike_buyers[[#This Row],[Income]]&lt;100000,"80K-99K","100K+"))))</f>
        <v>40K-59K</v>
      </c>
      <c r="F782">
        <v>0</v>
      </c>
      <c r="G782" s="1" t="s">
        <v>12</v>
      </c>
      <c r="H782" s="1" t="s">
        <v>19</v>
      </c>
      <c r="I782" s="1" t="s">
        <v>14</v>
      </c>
      <c r="J782">
        <v>0</v>
      </c>
      <c r="K782" s="1" t="s">
        <v>15</v>
      </c>
      <c r="L782" s="1" t="s">
        <v>16</v>
      </c>
      <c r="M782">
        <v>39</v>
      </c>
      <c r="N782" s="1" t="str" cm="1">
        <f t="array" ref="N782">_xlfn.IFS(M782&lt;40, " Adult", M782&lt;60, "Middle Age", M782&gt;=60, "Older Adult")</f>
        <v xml:space="preserve"> Adult</v>
      </c>
      <c r="O782" s="1" t="s">
        <v>17</v>
      </c>
      <c r="P782" s="1" t="b">
        <f>IF(O782="Yes", 1)</f>
        <v>0</v>
      </c>
      <c r="Q782" s="1"/>
    </row>
    <row r="783" spans="1:17" x14ac:dyDescent="0.25">
      <c r="A783">
        <v>26238</v>
      </c>
      <c r="B783" s="1" t="s">
        <v>34</v>
      </c>
      <c r="C783" s="1" t="s">
        <v>33</v>
      </c>
      <c r="D783" s="2">
        <v>40000</v>
      </c>
      <c r="E783" s="2" t="str">
        <f>IF(bike_buyers[[#This Row],[Income]]&lt;40000,"Under 40K", IF(bike_buyers[[#This Row],[Income]]&lt;60000,"40K-59K", IF(bike_buyers[[#This Row],[Income]]&lt;80000,"60K-79K", IF(bike_buyers[[#This Row],[Income]]&lt;100000,"80K-99K","100K+"))))</f>
        <v>40K-59K</v>
      </c>
      <c r="F783">
        <v>3</v>
      </c>
      <c r="G783" s="1" t="s">
        <v>18</v>
      </c>
      <c r="H783" s="1" t="s">
        <v>19</v>
      </c>
      <c r="I783" s="1" t="s">
        <v>14</v>
      </c>
      <c r="J783">
        <v>1</v>
      </c>
      <c r="K783" s="1" t="s">
        <v>25</v>
      </c>
      <c r="L783" s="1" t="s">
        <v>30</v>
      </c>
      <c r="M783">
        <v>31</v>
      </c>
      <c r="N783" s="1" t="str" cm="1">
        <f t="array" ref="N783">_xlfn.IFS(M783&lt;40, " Adult", M783&lt;60, "Middle Age", M783&gt;=60, "Older Adult")</f>
        <v xml:space="preserve"> Adult</v>
      </c>
      <c r="O783" s="1" t="s">
        <v>14</v>
      </c>
      <c r="P783" s="1">
        <f>IF(O783="Yes", 1)</f>
        <v>1</v>
      </c>
      <c r="Q783" s="1"/>
    </row>
    <row r="784" spans="1:17" x14ac:dyDescent="0.25">
      <c r="A784">
        <v>26575</v>
      </c>
      <c r="B784" s="1" t="s">
        <v>34</v>
      </c>
      <c r="C784" s="1" t="s">
        <v>33</v>
      </c>
      <c r="D784" s="2">
        <v>40000</v>
      </c>
      <c r="E784" s="2" t="str">
        <f>IF(bike_buyers[[#This Row],[Income]]&lt;40000,"Under 40K", IF(bike_buyers[[#This Row],[Income]]&lt;60000,"40K-59K", IF(bike_buyers[[#This Row],[Income]]&lt;80000,"60K-79K", IF(bike_buyers[[#This Row],[Income]]&lt;100000,"80K-99K","100K+"))))</f>
        <v>40K-59K</v>
      </c>
      <c r="F784">
        <v>0</v>
      </c>
      <c r="G784" s="1" t="s">
        <v>26</v>
      </c>
      <c r="H784" s="1" t="s">
        <v>13</v>
      </c>
      <c r="I784" s="1" t="s">
        <v>17</v>
      </c>
      <c r="J784">
        <v>2</v>
      </c>
      <c r="K784" s="1" t="s">
        <v>25</v>
      </c>
      <c r="L784" s="1" t="s">
        <v>30</v>
      </c>
      <c r="M784">
        <v>31</v>
      </c>
      <c r="N784" s="1" t="str" cm="1">
        <f t="array" ref="N784">_xlfn.IFS(M784&lt;40, " Adult", M784&lt;60, "Middle Age", M784&gt;=60, "Older Adult")</f>
        <v xml:space="preserve"> Adult</v>
      </c>
      <c r="O784" s="1" t="s">
        <v>14</v>
      </c>
      <c r="P784" s="1">
        <f>IF(O784="Yes", 1)</f>
        <v>1</v>
      </c>
      <c r="Q784" s="1"/>
    </row>
    <row r="785" spans="1:17" x14ac:dyDescent="0.25">
      <c r="A785">
        <v>19235</v>
      </c>
      <c r="B785" s="1" t="s">
        <v>31</v>
      </c>
      <c r="C785" s="1" t="s">
        <v>33</v>
      </c>
      <c r="D785" s="2">
        <v>50000</v>
      </c>
      <c r="E785" s="2" t="str">
        <f>IF(bike_buyers[[#This Row],[Income]]&lt;40000,"Under 40K", IF(bike_buyers[[#This Row],[Income]]&lt;60000,"40K-59K", IF(bike_buyers[[#This Row],[Income]]&lt;80000,"60K-79K", IF(bike_buyers[[#This Row],[Income]]&lt;100000,"80K-99K","100K+"))))</f>
        <v>40K-59K</v>
      </c>
      <c r="F785">
        <v>0</v>
      </c>
      <c r="G785" s="1" t="s">
        <v>29</v>
      </c>
      <c r="H785" s="1" t="s">
        <v>13</v>
      </c>
      <c r="I785" s="1" t="s">
        <v>14</v>
      </c>
      <c r="J785">
        <v>0</v>
      </c>
      <c r="K785" s="1" t="s">
        <v>15</v>
      </c>
      <c r="L785" s="1" t="s">
        <v>30</v>
      </c>
      <c r="M785">
        <v>34</v>
      </c>
      <c r="N785" s="1" t="str" cm="1">
        <f t="array" ref="N785">_xlfn.IFS(M785&lt;40, " Adult", M785&lt;60, "Middle Age", M785&gt;=60, "Older Adult")</f>
        <v xml:space="preserve"> Adult</v>
      </c>
      <c r="O785" s="1" t="s">
        <v>17</v>
      </c>
      <c r="P785" s="1" t="b">
        <f>IF(O785="Yes", 1)</f>
        <v>0</v>
      </c>
      <c r="Q785" s="1"/>
    </row>
    <row r="786" spans="1:17" x14ac:dyDescent="0.25">
      <c r="A786">
        <v>15275</v>
      </c>
      <c r="B786" s="1" t="s">
        <v>31</v>
      </c>
      <c r="C786" s="1" t="s">
        <v>32</v>
      </c>
      <c r="D786" s="2">
        <v>40000</v>
      </c>
      <c r="E786" s="2" t="str">
        <f>IF(bike_buyers[[#This Row],[Income]]&lt;40000,"Under 40K", IF(bike_buyers[[#This Row],[Income]]&lt;60000,"40K-59K", IF(bike_buyers[[#This Row],[Income]]&lt;80000,"60K-79K", IF(bike_buyers[[#This Row],[Income]]&lt;100000,"80K-99K","100K+"))))</f>
        <v>40K-59K</v>
      </c>
      <c r="F786">
        <v>0</v>
      </c>
      <c r="G786" s="1" t="s">
        <v>18</v>
      </c>
      <c r="H786" s="1" t="s">
        <v>13</v>
      </c>
      <c r="I786" s="1" t="s">
        <v>14</v>
      </c>
      <c r="J786">
        <v>1</v>
      </c>
      <c r="K786" s="1" t="s">
        <v>22</v>
      </c>
      <c r="L786" s="1" t="s">
        <v>30</v>
      </c>
      <c r="M786">
        <v>29</v>
      </c>
      <c r="N786" s="1" t="str" cm="1">
        <f t="array" ref="N786">_xlfn.IFS(M786&lt;40, " Adult", M786&lt;60, "Middle Age", M786&gt;=60, "Older Adult")</f>
        <v xml:space="preserve"> Adult</v>
      </c>
      <c r="O786" s="1" t="s">
        <v>17</v>
      </c>
      <c r="P786" s="1" t="b">
        <f>IF(O786="Yes", 1)</f>
        <v>0</v>
      </c>
      <c r="Q786" s="1"/>
    </row>
    <row r="787" spans="1:17" x14ac:dyDescent="0.25">
      <c r="A787">
        <v>24738</v>
      </c>
      <c r="B787" s="1" t="s">
        <v>31</v>
      </c>
      <c r="C787" s="1" t="s">
        <v>33</v>
      </c>
      <c r="D787" s="2">
        <v>40000</v>
      </c>
      <c r="E787" s="2" t="str">
        <f>IF(bike_buyers[[#This Row],[Income]]&lt;40000,"Under 40K", IF(bike_buyers[[#This Row],[Income]]&lt;60000,"40K-59K", IF(bike_buyers[[#This Row],[Income]]&lt;80000,"60K-79K", IF(bike_buyers[[#This Row],[Income]]&lt;100000,"80K-99K","100K+"))))</f>
        <v>40K-59K</v>
      </c>
      <c r="F787">
        <v>1</v>
      </c>
      <c r="G787" s="1" t="s">
        <v>18</v>
      </c>
      <c r="H787" s="1" t="s">
        <v>19</v>
      </c>
      <c r="I787" s="1" t="s">
        <v>14</v>
      </c>
      <c r="J787">
        <v>1</v>
      </c>
      <c r="K787" s="1" t="s">
        <v>25</v>
      </c>
      <c r="L787" s="1" t="s">
        <v>30</v>
      </c>
      <c r="M787">
        <v>51</v>
      </c>
      <c r="N787" s="1" t="str" cm="1">
        <f t="array" ref="N787">_xlfn.IFS(M787&lt;40, " Adult", M787&lt;60, "Middle Age", M787&gt;=60, "Older Adult")</f>
        <v>Middle Age</v>
      </c>
      <c r="O787" s="1" t="s">
        <v>14</v>
      </c>
      <c r="P787" s="1">
        <f>IF(O787="Yes", 1)</f>
        <v>1</v>
      </c>
      <c r="Q787" s="1"/>
    </row>
    <row r="788" spans="1:17" x14ac:dyDescent="0.25">
      <c r="A788">
        <v>19399</v>
      </c>
      <c r="B788" s="1" t="s">
        <v>34</v>
      </c>
      <c r="C788" s="1" t="s">
        <v>32</v>
      </c>
      <c r="D788" s="2">
        <v>40000</v>
      </c>
      <c r="E788" s="2" t="str">
        <f>IF(bike_buyers[[#This Row],[Income]]&lt;40000,"Under 40K", IF(bike_buyers[[#This Row],[Income]]&lt;60000,"40K-59K", IF(bike_buyers[[#This Row],[Income]]&lt;80000,"60K-79K", IF(bike_buyers[[#This Row],[Income]]&lt;100000,"80K-99K","100K+"))))</f>
        <v>40K-59K</v>
      </c>
      <c r="F788">
        <v>0</v>
      </c>
      <c r="G788" s="1" t="s">
        <v>12</v>
      </c>
      <c r="H788" s="1" t="s">
        <v>20</v>
      </c>
      <c r="I788" s="1" t="s">
        <v>17</v>
      </c>
      <c r="J788">
        <v>1</v>
      </c>
      <c r="K788" s="1" t="s">
        <v>21</v>
      </c>
      <c r="L788" s="1" t="s">
        <v>30</v>
      </c>
      <c r="M788">
        <v>45</v>
      </c>
      <c r="N788" s="1" t="str" cm="1">
        <f t="array" ref="N788">_xlfn.IFS(M788&lt;40, " Adult", M788&lt;60, "Middle Age", M788&gt;=60, "Older Adult")</f>
        <v>Middle Age</v>
      </c>
      <c r="O788" s="1" t="s">
        <v>17</v>
      </c>
      <c r="P788" s="1" t="b">
        <f>IF(O788="Yes", 1)</f>
        <v>0</v>
      </c>
      <c r="Q788" s="1"/>
    </row>
    <row r="789" spans="1:17" x14ac:dyDescent="0.25">
      <c r="A789">
        <v>18976</v>
      </c>
      <c r="B789" s="1" t="s">
        <v>34</v>
      </c>
      <c r="C789" s="1" t="s">
        <v>32</v>
      </c>
      <c r="D789" s="2">
        <v>40000</v>
      </c>
      <c r="E789" s="2" t="str">
        <f>IF(bike_buyers[[#This Row],[Income]]&lt;40000,"Under 40K", IF(bike_buyers[[#This Row],[Income]]&lt;60000,"40K-59K", IF(bike_buyers[[#This Row],[Income]]&lt;80000,"60K-79K", IF(bike_buyers[[#This Row],[Income]]&lt;100000,"80K-99K","100K+"))))</f>
        <v>40K-59K</v>
      </c>
      <c r="F789">
        <v>4</v>
      </c>
      <c r="G789" s="1" t="s">
        <v>26</v>
      </c>
      <c r="H789" s="1" t="s">
        <v>20</v>
      </c>
      <c r="I789" s="1" t="s">
        <v>14</v>
      </c>
      <c r="J789">
        <v>2</v>
      </c>
      <c r="K789" s="1" t="s">
        <v>62</v>
      </c>
      <c r="L789" s="1" t="s">
        <v>30</v>
      </c>
      <c r="M789">
        <v>62</v>
      </c>
      <c r="N789" s="1" t="str" cm="1">
        <f t="array" ref="N789">_xlfn.IFS(M789&lt;40, " Adult", M789&lt;60, "Middle Age", M789&gt;=60, "Older Adult")</f>
        <v>Older Adult</v>
      </c>
      <c r="O789" s="1" t="s">
        <v>14</v>
      </c>
      <c r="P789" s="1">
        <f>IF(O789="Yes", 1)</f>
        <v>1</v>
      </c>
      <c r="Q789" s="1"/>
    </row>
    <row r="790" spans="1:17" x14ac:dyDescent="0.25">
      <c r="A790">
        <v>11641</v>
      </c>
      <c r="B790" s="1" t="s">
        <v>31</v>
      </c>
      <c r="C790" s="1" t="s">
        <v>32</v>
      </c>
      <c r="D790" s="2">
        <v>50000</v>
      </c>
      <c r="E790" s="2" t="str">
        <f>IF(bike_buyers[[#This Row],[Income]]&lt;40000,"Under 40K", IF(bike_buyers[[#This Row],[Income]]&lt;60000,"40K-59K", IF(bike_buyers[[#This Row],[Income]]&lt;80000,"60K-79K", IF(bike_buyers[[#This Row],[Income]]&lt;100000,"80K-99K","100K+"))))</f>
        <v>40K-59K</v>
      </c>
      <c r="F790">
        <v>1</v>
      </c>
      <c r="G790" s="1" t="s">
        <v>12</v>
      </c>
      <c r="H790" s="1" t="s">
        <v>13</v>
      </c>
      <c r="I790" s="1" t="s">
        <v>14</v>
      </c>
      <c r="J790">
        <v>0</v>
      </c>
      <c r="K790" s="1" t="s">
        <v>15</v>
      </c>
      <c r="L790" s="1" t="s">
        <v>30</v>
      </c>
      <c r="M790">
        <v>36</v>
      </c>
      <c r="N790" s="1" t="str" cm="1">
        <f t="array" ref="N790">_xlfn.IFS(M790&lt;40, " Adult", M790&lt;60, "Middle Age", M790&gt;=60, "Older Adult")</f>
        <v xml:space="preserve"> Adult</v>
      </c>
      <c r="O790" s="1" t="s">
        <v>17</v>
      </c>
      <c r="P790" s="1" t="b">
        <f>IF(O790="Yes", 1)</f>
        <v>0</v>
      </c>
      <c r="Q790" s="1"/>
    </row>
    <row r="791" spans="1:17" x14ac:dyDescent="0.25">
      <c r="A791">
        <v>24637</v>
      </c>
      <c r="B791" s="1" t="s">
        <v>31</v>
      </c>
      <c r="C791" s="1" t="s">
        <v>32</v>
      </c>
      <c r="D791" s="2">
        <v>40000</v>
      </c>
      <c r="E791" s="2" t="str">
        <f>IF(bike_buyers[[#This Row],[Income]]&lt;40000,"Under 40K", IF(bike_buyers[[#This Row],[Income]]&lt;60000,"40K-59K", IF(bike_buyers[[#This Row],[Income]]&lt;80000,"60K-79K", IF(bike_buyers[[#This Row],[Income]]&lt;100000,"80K-99K","100K+"))))</f>
        <v>40K-59K</v>
      </c>
      <c r="F791">
        <v>4</v>
      </c>
      <c r="G791" s="1" t="s">
        <v>26</v>
      </c>
      <c r="H791" s="1" t="s">
        <v>20</v>
      </c>
      <c r="I791" s="1" t="s">
        <v>14</v>
      </c>
      <c r="J791">
        <v>2</v>
      </c>
      <c r="K791" s="1" t="s">
        <v>62</v>
      </c>
      <c r="L791" s="1" t="s">
        <v>30</v>
      </c>
      <c r="M791">
        <v>64</v>
      </c>
      <c r="N791" s="1" t="str" cm="1">
        <f t="array" ref="N791">_xlfn.IFS(M791&lt;40, " Adult", M791&lt;60, "Middle Age", M791&gt;=60, "Older Adult")</f>
        <v>Older Adult</v>
      </c>
      <c r="O791" s="1" t="s">
        <v>17</v>
      </c>
      <c r="P791" s="1" t="b">
        <f>IF(O791="Yes", 1)</f>
        <v>0</v>
      </c>
      <c r="Q791" s="1"/>
    </row>
    <row r="792" spans="1:17" x14ac:dyDescent="0.25">
      <c r="A792">
        <v>23893</v>
      </c>
      <c r="B792" s="1" t="s">
        <v>31</v>
      </c>
      <c r="C792" s="1" t="s">
        <v>32</v>
      </c>
      <c r="D792" s="2">
        <v>50000</v>
      </c>
      <c r="E792" s="2" t="str">
        <f>IF(bike_buyers[[#This Row],[Income]]&lt;40000,"Under 40K", IF(bike_buyers[[#This Row],[Income]]&lt;60000,"40K-59K", IF(bike_buyers[[#This Row],[Income]]&lt;80000,"60K-79K", IF(bike_buyers[[#This Row],[Income]]&lt;100000,"80K-99K","100K+"))))</f>
        <v>40K-59K</v>
      </c>
      <c r="F792">
        <v>3</v>
      </c>
      <c r="G792" s="1" t="s">
        <v>12</v>
      </c>
      <c r="H792" s="1" t="s">
        <v>13</v>
      </c>
      <c r="I792" s="1" t="s">
        <v>14</v>
      </c>
      <c r="J792">
        <v>3</v>
      </c>
      <c r="K792" s="1" t="s">
        <v>62</v>
      </c>
      <c r="L792" s="1" t="s">
        <v>30</v>
      </c>
      <c r="M792">
        <v>41</v>
      </c>
      <c r="N792" s="1" t="str" cm="1">
        <f t="array" ref="N792">_xlfn.IFS(M792&lt;40, " Adult", M792&lt;60, "Middle Age", M792&gt;=60, "Older Adult")</f>
        <v>Middle Age</v>
      </c>
      <c r="O792" s="1" t="s">
        <v>17</v>
      </c>
      <c r="P792" s="1" t="b">
        <f>IF(O792="Yes", 1)</f>
        <v>0</v>
      </c>
      <c r="Q792" s="1"/>
    </row>
    <row r="793" spans="1:17" x14ac:dyDescent="0.25">
      <c r="A793">
        <v>14900</v>
      </c>
      <c r="B793" s="1" t="s">
        <v>31</v>
      </c>
      <c r="C793" s="1" t="s">
        <v>33</v>
      </c>
      <c r="D793" s="2">
        <v>40000</v>
      </c>
      <c r="E793" s="2" t="str">
        <f>IF(bike_buyers[[#This Row],[Income]]&lt;40000,"Under 40K", IF(bike_buyers[[#This Row],[Income]]&lt;60000,"40K-59K", IF(bike_buyers[[#This Row],[Income]]&lt;80000,"60K-79K", IF(bike_buyers[[#This Row],[Income]]&lt;100000,"80K-99K","100K+"))))</f>
        <v>40K-59K</v>
      </c>
      <c r="F793">
        <v>1</v>
      </c>
      <c r="G793" s="1" t="s">
        <v>18</v>
      </c>
      <c r="H793" s="1" t="s">
        <v>19</v>
      </c>
      <c r="I793" s="1" t="s">
        <v>14</v>
      </c>
      <c r="J793">
        <v>1</v>
      </c>
      <c r="K793" s="1" t="s">
        <v>25</v>
      </c>
      <c r="L793" s="1" t="s">
        <v>30</v>
      </c>
      <c r="M793">
        <v>49</v>
      </c>
      <c r="N793" s="1" t="str" cm="1">
        <f t="array" ref="N793">_xlfn.IFS(M793&lt;40, " Adult", M793&lt;60, "Middle Age", M793&gt;=60, "Older Adult")</f>
        <v>Middle Age</v>
      </c>
      <c r="O793" s="1" t="s">
        <v>14</v>
      </c>
      <c r="P793" s="1">
        <f>IF(O793="Yes", 1)</f>
        <v>1</v>
      </c>
      <c r="Q793" s="1"/>
    </row>
    <row r="794" spans="1:17" x14ac:dyDescent="0.25">
      <c r="A794">
        <v>25375</v>
      </c>
      <c r="B794" s="1" t="s">
        <v>31</v>
      </c>
      <c r="C794" s="1" t="s">
        <v>32</v>
      </c>
      <c r="D794" s="2">
        <v>50000</v>
      </c>
      <c r="E794" s="2" t="str">
        <f>IF(bike_buyers[[#This Row],[Income]]&lt;40000,"Under 40K", IF(bike_buyers[[#This Row],[Income]]&lt;60000,"40K-59K", IF(bike_buyers[[#This Row],[Income]]&lt;80000,"60K-79K", IF(bike_buyers[[#This Row],[Income]]&lt;100000,"80K-99K","100K+"))))</f>
        <v>40K-59K</v>
      </c>
      <c r="F794">
        <v>1</v>
      </c>
      <c r="G794" s="1" t="s">
        <v>29</v>
      </c>
      <c r="H794" s="1" t="s">
        <v>13</v>
      </c>
      <c r="I794" s="1" t="s">
        <v>14</v>
      </c>
      <c r="J794">
        <v>0</v>
      </c>
      <c r="K794" s="1" t="s">
        <v>25</v>
      </c>
      <c r="L794" s="1" t="s">
        <v>30</v>
      </c>
      <c r="M794">
        <v>34</v>
      </c>
      <c r="N794" s="1" t="str" cm="1">
        <f t="array" ref="N794">_xlfn.IFS(M794&lt;40, " Adult", M794&lt;60, "Middle Age", M794&gt;=60, "Older Adult")</f>
        <v xml:space="preserve"> Adult</v>
      </c>
      <c r="O794" s="1" t="s">
        <v>17</v>
      </c>
      <c r="P794" s="1" t="b">
        <f>IF(O794="Yes", 1)</f>
        <v>0</v>
      </c>
      <c r="Q794" s="1"/>
    </row>
    <row r="795" spans="1:17" x14ac:dyDescent="0.25">
      <c r="A795">
        <v>11143</v>
      </c>
      <c r="B795" s="1" t="s">
        <v>31</v>
      </c>
      <c r="C795" s="1" t="s">
        <v>32</v>
      </c>
      <c r="D795" s="2">
        <v>40000</v>
      </c>
      <c r="E795" s="2" t="str">
        <f>IF(bike_buyers[[#This Row],[Income]]&lt;40000,"Under 40K", IF(bike_buyers[[#This Row],[Income]]&lt;60000,"40K-59K", IF(bike_buyers[[#This Row],[Income]]&lt;80000,"60K-79K", IF(bike_buyers[[#This Row],[Income]]&lt;100000,"80K-99K","100K+"))))</f>
        <v>40K-59K</v>
      </c>
      <c r="F795">
        <v>0</v>
      </c>
      <c r="G795" s="1" t="s">
        <v>26</v>
      </c>
      <c r="H795" s="1" t="s">
        <v>13</v>
      </c>
      <c r="I795" s="1" t="s">
        <v>14</v>
      </c>
      <c r="J795">
        <v>2</v>
      </c>
      <c r="K795" s="1" t="s">
        <v>22</v>
      </c>
      <c r="L795" s="1" t="s">
        <v>30</v>
      </c>
      <c r="M795">
        <v>29</v>
      </c>
      <c r="N795" s="1" t="str" cm="1">
        <f t="array" ref="N795">_xlfn.IFS(M795&lt;40, " Adult", M795&lt;60, "Middle Age", M795&gt;=60, "Older Adult")</f>
        <v xml:space="preserve"> Adult</v>
      </c>
      <c r="O795" s="1" t="s">
        <v>17</v>
      </c>
      <c r="P795" s="1" t="b">
        <f>IF(O795="Yes", 1)</f>
        <v>0</v>
      </c>
      <c r="Q795" s="1"/>
    </row>
    <row r="796" spans="1:17" x14ac:dyDescent="0.25">
      <c r="A796">
        <v>27393</v>
      </c>
      <c r="B796" s="1" t="s">
        <v>31</v>
      </c>
      <c r="C796" s="1" t="s">
        <v>33</v>
      </c>
      <c r="D796" s="2">
        <v>50000</v>
      </c>
      <c r="E796" s="2" t="str">
        <f>IF(bike_buyers[[#This Row],[Income]]&lt;40000,"Under 40K", IF(bike_buyers[[#This Row],[Income]]&lt;60000,"40K-59K", IF(bike_buyers[[#This Row],[Income]]&lt;80000,"60K-79K", IF(bike_buyers[[#This Row],[Income]]&lt;100000,"80K-99K","100K+"))))</f>
        <v>40K-59K</v>
      </c>
      <c r="F796">
        <v>4</v>
      </c>
      <c r="G796" s="1" t="s">
        <v>12</v>
      </c>
      <c r="H796" s="1" t="s">
        <v>27</v>
      </c>
      <c r="I796" s="1" t="s">
        <v>14</v>
      </c>
      <c r="J796">
        <v>2</v>
      </c>
      <c r="K796" s="1" t="s">
        <v>62</v>
      </c>
      <c r="L796" s="1" t="s">
        <v>30</v>
      </c>
      <c r="M796">
        <v>63</v>
      </c>
      <c r="N796" s="1" t="str" cm="1">
        <f t="array" ref="N796">_xlfn.IFS(M796&lt;40, " Adult", M796&lt;60, "Middle Age", M796&gt;=60, "Older Adult")</f>
        <v>Older Adult</v>
      </c>
      <c r="O796" s="1" t="s">
        <v>17</v>
      </c>
      <c r="P796" s="1" t="b">
        <f>IF(O796="Yes", 1)</f>
        <v>0</v>
      </c>
      <c r="Q796" s="1"/>
    </row>
    <row r="797" spans="1:17" x14ac:dyDescent="0.25">
      <c r="A797">
        <v>17533</v>
      </c>
      <c r="B797" s="1" t="s">
        <v>31</v>
      </c>
      <c r="C797" s="1" t="s">
        <v>32</v>
      </c>
      <c r="D797" s="2">
        <v>40000</v>
      </c>
      <c r="E797" s="2" t="str">
        <f>IF(bike_buyers[[#This Row],[Income]]&lt;40000,"Under 40K", IF(bike_buyers[[#This Row],[Income]]&lt;60000,"40K-59K", IF(bike_buyers[[#This Row],[Income]]&lt;80000,"60K-79K", IF(bike_buyers[[#This Row],[Income]]&lt;100000,"80K-99K","100K+"))))</f>
        <v>40K-59K</v>
      </c>
      <c r="F797">
        <v>3</v>
      </c>
      <c r="G797" s="1" t="s">
        <v>18</v>
      </c>
      <c r="H797" s="1" t="s">
        <v>20</v>
      </c>
      <c r="I797" s="1" t="s">
        <v>17</v>
      </c>
      <c r="J797">
        <v>2</v>
      </c>
      <c r="K797" s="1" t="s">
        <v>22</v>
      </c>
      <c r="L797" s="1" t="s">
        <v>30</v>
      </c>
      <c r="M797">
        <v>73</v>
      </c>
      <c r="N797" s="1" t="str" cm="1">
        <f t="array" ref="N797">_xlfn.IFS(M797&lt;40, " Adult", M797&lt;60, "Middle Age", M797&gt;=60, "Older Adult")</f>
        <v>Older Adult</v>
      </c>
      <c r="O797" s="1" t="s">
        <v>14</v>
      </c>
      <c r="P797" s="1">
        <f>IF(O797="Yes", 1)</f>
        <v>1</v>
      </c>
      <c r="Q797" s="1"/>
    </row>
    <row r="798" spans="1:17" x14ac:dyDescent="0.25">
      <c r="A798">
        <v>17025</v>
      </c>
      <c r="B798" s="1" t="s">
        <v>34</v>
      </c>
      <c r="C798" s="1" t="s">
        <v>32</v>
      </c>
      <c r="D798" s="2">
        <v>50000</v>
      </c>
      <c r="E798" s="2" t="str">
        <f>IF(bike_buyers[[#This Row],[Income]]&lt;40000,"Under 40K", IF(bike_buyers[[#This Row],[Income]]&lt;60000,"40K-59K", IF(bike_buyers[[#This Row],[Income]]&lt;80000,"60K-79K", IF(bike_buyers[[#This Row],[Income]]&lt;100000,"80K-99K","100K+"))))</f>
        <v>40K-59K</v>
      </c>
      <c r="F798">
        <v>0</v>
      </c>
      <c r="G798" s="1" t="s">
        <v>18</v>
      </c>
      <c r="H798" s="1" t="s">
        <v>13</v>
      </c>
      <c r="I798" s="1" t="s">
        <v>17</v>
      </c>
      <c r="J798">
        <v>1</v>
      </c>
      <c r="K798" s="1" t="s">
        <v>21</v>
      </c>
      <c r="L798" s="1" t="s">
        <v>30</v>
      </c>
      <c r="M798">
        <v>39</v>
      </c>
      <c r="N798" s="1" t="str" cm="1">
        <f t="array" ref="N798">_xlfn.IFS(M798&lt;40, " Adult", M798&lt;60, "Middle Age", M798&gt;=60, "Older Adult")</f>
        <v xml:space="preserve"> Adult</v>
      </c>
      <c r="O798" s="1" t="s">
        <v>14</v>
      </c>
      <c r="P798" s="1">
        <f>IF(O798="Yes", 1)</f>
        <v>1</v>
      </c>
      <c r="Q798" s="1"/>
    </row>
    <row r="799" spans="1:17" x14ac:dyDescent="0.25">
      <c r="A799">
        <v>24725</v>
      </c>
      <c r="B799" s="1" t="s">
        <v>31</v>
      </c>
      <c r="C799" s="1" t="s">
        <v>33</v>
      </c>
      <c r="D799" s="2">
        <v>40000</v>
      </c>
      <c r="E799" s="2" t="str">
        <f>IF(bike_buyers[[#This Row],[Income]]&lt;40000,"Under 40K", IF(bike_buyers[[#This Row],[Income]]&lt;60000,"40K-59K", IF(bike_buyers[[#This Row],[Income]]&lt;80000,"60K-79K", IF(bike_buyers[[#This Row],[Income]]&lt;100000,"80K-99K","100K+"))))</f>
        <v>40K-59K</v>
      </c>
      <c r="F799">
        <v>3</v>
      </c>
      <c r="G799" s="1" t="s">
        <v>18</v>
      </c>
      <c r="H799" s="1" t="s">
        <v>19</v>
      </c>
      <c r="I799" s="1" t="s">
        <v>14</v>
      </c>
      <c r="J799">
        <v>0</v>
      </c>
      <c r="K799" s="1" t="s">
        <v>25</v>
      </c>
      <c r="L799" s="1" t="s">
        <v>30</v>
      </c>
      <c r="M799">
        <v>31</v>
      </c>
      <c r="N799" s="1" t="str" cm="1">
        <f t="array" ref="N799">_xlfn.IFS(M799&lt;40, " Adult", M799&lt;60, "Middle Age", M799&gt;=60, "Older Adult")</f>
        <v xml:space="preserve"> Adult</v>
      </c>
      <c r="O799" s="1" t="s">
        <v>17</v>
      </c>
      <c r="P799" s="1" t="b">
        <f>IF(O799="Yes", 1)</f>
        <v>0</v>
      </c>
      <c r="Q799" s="1"/>
    </row>
    <row r="800" spans="1:17" x14ac:dyDescent="0.25">
      <c r="A800">
        <v>23200</v>
      </c>
      <c r="B800" s="1" t="s">
        <v>31</v>
      </c>
      <c r="C800" s="1" t="s">
        <v>33</v>
      </c>
      <c r="D800" s="2">
        <v>50000</v>
      </c>
      <c r="E800" s="2" t="str">
        <f>IF(bike_buyers[[#This Row],[Income]]&lt;40000,"Under 40K", IF(bike_buyers[[#This Row],[Income]]&lt;60000,"40K-59K", IF(bike_buyers[[#This Row],[Income]]&lt;80000,"60K-79K", IF(bike_buyers[[#This Row],[Income]]&lt;100000,"80K-99K","100K+"))))</f>
        <v>40K-59K</v>
      </c>
      <c r="F800">
        <v>3</v>
      </c>
      <c r="G800" s="1" t="s">
        <v>12</v>
      </c>
      <c r="H800" s="1" t="s">
        <v>13</v>
      </c>
      <c r="I800" s="1" t="s">
        <v>14</v>
      </c>
      <c r="J800">
        <v>2</v>
      </c>
      <c r="K800" s="1" t="s">
        <v>15</v>
      </c>
      <c r="L800" s="1" t="s">
        <v>30</v>
      </c>
      <c r="M800">
        <v>41</v>
      </c>
      <c r="N800" s="1" t="str" cm="1">
        <f t="array" ref="N800">_xlfn.IFS(M800&lt;40, " Adult", M800&lt;60, "Middle Age", M800&gt;=60, "Older Adult")</f>
        <v>Middle Age</v>
      </c>
      <c r="O800" s="1" t="s">
        <v>17</v>
      </c>
      <c r="P800" s="1" t="b">
        <f>IF(O800="Yes", 1)</f>
        <v>0</v>
      </c>
      <c r="Q800" s="1"/>
    </row>
    <row r="801" spans="1:17" x14ac:dyDescent="0.25">
      <c r="A801">
        <v>14495</v>
      </c>
      <c r="B801" s="1" t="s">
        <v>31</v>
      </c>
      <c r="C801" s="1" t="s">
        <v>32</v>
      </c>
      <c r="D801" s="2">
        <v>40000</v>
      </c>
      <c r="E801" s="2" t="str">
        <f>IF(bike_buyers[[#This Row],[Income]]&lt;40000,"Under 40K", IF(bike_buyers[[#This Row],[Income]]&lt;60000,"40K-59K", IF(bike_buyers[[#This Row],[Income]]&lt;80000,"60K-79K", IF(bike_buyers[[#This Row],[Income]]&lt;100000,"80K-99K","100K+"))))</f>
        <v>40K-59K</v>
      </c>
      <c r="F801">
        <v>3</v>
      </c>
      <c r="G801" s="1" t="s">
        <v>18</v>
      </c>
      <c r="H801" s="1" t="s">
        <v>20</v>
      </c>
      <c r="I801" s="1" t="s">
        <v>17</v>
      </c>
      <c r="J801">
        <v>2</v>
      </c>
      <c r="K801" s="1" t="s">
        <v>22</v>
      </c>
      <c r="L801" s="1" t="s">
        <v>30</v>
      </c>
      <c r="M801">
        <v>54</v>
      </c>
      <c r="N801" s="1" t="str" cm="1">
        <f t="array" ref="N801">_xlfn.IFS(M801&lt;40, " Adult", M801&lt;60, "Middle Age", M801&gt;=60, "Older Adult")</f>
        <v>Middle Age</v>
      </c>
      <c r="O801" s="1" t="s">
        <v>14</v>
      </c>
      <c r="P801" s="1">
        <f>IF(O801="Yes", 1)</f>
        <v>1</v>
      </c>
      <c r="Q801" s="1"/>
    </row>
    <row r="802" spans="1:17" x14ac:dyDescent="0.25">
      <c r="A802">
        <v>14754</v>
      </c>
      <c r="B802" s="1" t="s">
        <v>31</v>
      </c>
      <c r="C802" s="1" t="s">
        <v>32</v>
      </c>
      <c r="D802" s="2">
        <v>40000</v>
      </c>
      <c r="E802" s="2" t="str">
        <f>IF(bike_buyers[[#This Row],[Income]]&lt;40000,"Under 40K", IF(bike_buyers[[#This Row],[Income]]&lt;60000,"40K-59K", IF(bike_buyers[[#This Row],[Income]]&lt;80000,"60K-79K", IF(bike_buyers[[#This Row],[Income]]&lt;100000,"80K-99K","100K+"))))</f>
        <v>40K-59K</v>
      </c>
      <c r="F802">
        <v>1</v>
      </c>
      <c r="G802" s="1" t="s">
        <v>18</v>
      </c>
      <c r="H802" s="1" t="s">
        <v>19</v>
      </c>
      <c r="I802" s="1" t="s">
        <v>14</v>
      </c>
      <c r="J802">
        <v>1</v>
      </c>
      <c r="K802" s="1" t="s">
        <v>25</v>
      </c>
      <c r="L802" s="1" t="s">
        <v>30</v>
      </c>
      <c r="M802">
        <v>48</v>
      </c>
      <c r="N802" s="1" t="str" cm="1">
        <f t="array" ref="N802">_xlfn.IFS(M802&lt;40, " Adult", M802&lt;60, "Middle Age", M802&gt;=60, "Older Adult")</f>
        <v>Middle Age</v>
      </c>
      <c r="O802" s="1" t="s">
        <v>14</v>
      </c>
      <c r="P802" s="1">
        <f>IF(O802="Yes", 1)</f>
        <v>1</v>
      </c>
      <c r="Q802" s="1"/>
    </row>
    <row r="803" spans="1:17" x14ac:dyDescent="0.25">
      <c r="A803">
        <v>26452</v>
      </c>
      <c r="B803" s="1" t="s">
        <v>34</v>
      </c>
      <c r="C803" s="1" t="s">
        <v>32</v>
      </c>
      <c r="D803" s="2">
        <v>50000</v>
      </c>
      <c r="E803" s="2" t="str">
        <f>IF(bike_buyers[[#This Row],[Income]]&lt;40000,"Under 40K", IF(bike_buyers[[#This Row],[Income]]&lt;60000,"40K-59K", IF(bike_buyers[[#This Row],[Income]]&lt;80000,"60K-79K", IF(bike_buyers[[#This Row],[Income]]&lt;100000,"80K-99K","100K+"))))</f>
        <v>40K-59K</v>
      </c>
      <c r="F803">
        <v>3</v>
      </c>
      <c r="G803" s="1" t="s">
        <v>29</v>
      </c>
      <c r="H803" s="1" t="s">
        <v>27</v>
      </c>
      <c r="I803" s="1" t="s">
        <v>14</v>
      </c>
      <c r="J803">
        <v>2</v>
      </c>
      <c r="K803" s="1" t="s">
        <v>62</v>
      </c>
      <c r="L803" s="1" t="s">
        <v>30</v>
      </c>
      <c r="M803">
        <v>69</v>
      </c>
      <c r="N803" s="1" t="str" cm="1">
        <f t="array" ref="N803">_xlfn.IFS(M803&lt;40, " Adult", M803&lt;60, "Middle Age", M803&gt;=60, "Older Adult")</f>
        <v>Older Adult</v>
      </c>
      <c r="O803" s="1" t="s">
        <v>17</v>
      </c>
      <c r="P803" s="1" t="b">
        <f>IF(O803="Yes", 1)</f>
        <v>0</v>
      </c>
      <c r="Q803" s="1"/>
    </row>
    <row r="804" spans="1:17" x14ac:dyDescent="0.25">
      <c r="A804">
        <v>20528</v>
      </c>
      <c r="B804" s="1" t="s">
        <v>31</v>
      </c>
      <c r="C804" s="1" t="s">
        <v>32</v>
      </c>
      <c r="D804" s="2">
        <v>40000</v>
      </c>
      <c r="E804" s="2" t="str">
        <f>IF(bike_buyers[[#This Row],[Income]]&lt;40000,"Under 40K", IF(bike_buyers[[#This Row],[Income]]&lt;60000,"40K-59K", IF(bike_buyers[[#This Row],[Income]]&lt;80000,"60K-79K", IF(bike_buyers[[#This Row],[Income]]&lt;100000,"80K-99K","100K+"))))</f>
        <v>40K-59K</v>
      </c>
      <c r="F804">
        <v>2</v>
      </c>
      <c r="G804" s="1" t="s">
        <v>28</v>
      </c>
      <c r="H804" s="1" t="s">
        <v>13</v>
      </c>
      <c r="I804" s="1" t="s">
        <v>14</v>
      </c>
      <c r="J804">
        <v>2</v>
      </c>
      <c r="K804" s="1" t="s">
        <v>21</v>
      </c>
      <c r="L804" s="1" t="s">
        <v>30</v>
      </c>
      <c r="M804">
        <v>55</v>
      </c>
      <c r="N804" s="1" t="str" cm="1">
        <f t="array" ref="N804">_xlfn.IFS(M804&lt;40, " Adult", M804&lt;60, "Middle Age", M804&gt;=60, "Older Adult")</f>
        <v>Middle Age</v>
      </c>
      <c r="O804" s="1" t="s">
        <v>17</v>
      </c>
      <c r="P804" s="1" t="b">
        <f>IF(O804="Yes", 1)</f>
        <v>0</v>
      </c>
      <c r="Q804" s="1"/>
    </row>
    <row r="805" spans="1:17" x14ac:dyDescent="0.25">
      <c r="A805">
        <v>18752</v>
      </c>
      <c r="B805" s="1" t="s">
        <v>34</v>
      </c>
      <c r="C805" s="1" t="s">
        <v>33</v>
      </c>
      <c r="D805" s="2">
        <v>40000</v>
      </c>
      <c r="E805" s="2" t="str">
        <f>IF(bike_buyers[[#This Row],[Income]]&lt;40000,"Under 40K", IF(bike_buyers[[#This Row],[Income]]&lt;60000,"40K-59K", IF(bike_buyers[[#This Row],[Income]]&lt;80000,"60K-79K", IF(bike_buyers[[#This Row],[Income]]&lt;100000,"80K-99K","100K+"))))</f>
        <v>40K-59K</v>
      </c>
      <c r="F805">
        <v>0</v>
      </c>
      <c r="G805" s="1" t="s">
        <v>26</v>
      </c>
      <c r="H805" s="1" t="s">
        <v>13</v>
      </c>
      <c r="I805" s="1" t="s">
        <v>14</v>
      </c>
      <c r="J805">
        <v>1</v>
      </c>
      <c r="K805" s="1" t="s">
        <v>22</v>
      </c>
      <c r="L805" s="1" t="s">
        <v>30</v>
      </c>
      <c r="M805">
        <v>31</v>
      </c>
      <c r="N805" s="1" t="str" cm="1">
        <f t="array" ref="N805">_xlfn.IFS(M805&lt;40, " Adult", M805&lt;60, "Middle Age", M805&gt;=60, "Older Adult")</f>
        <v xml:space="preserve"> Adult</v>
      </c>
      <c r="O805" s="1" t="s">
        <v>17</v>
      </c>
      <c r="P805" s="1" t="b">
        <f>IF(O805="Yes", 1)</f>
        <v>0</v>
      </c>
      <c r="Q805" s="1"/>
    </row>
    <row r="806" spans="1:17" x14ac:dyDescent="0.25">
      <c r="A806">
        <v>25329</v>
      </c>
      <c r="B806" s="1" t="s">
        <v>34</v>
      </c>
      <c r="C806" s="1" t="s">
        <v>33</v>
      </c>
      <c r="D806" s="2">
        <v>40000</v>
      </c>
      <c r="E806" s="2" t="str">
        <f>IF(bike_buyers[[#This Row],[Income]]&lt;40000,"Under 40K", IF(bike_buyers[[#This Row],[Income]]&lt;60000,"40K-59K", IF(bike_buyers[[#This Row],[Income]]&lt;80000,"60K-79K", IF(bike_buyers[[#This Row],[Income]]&lt;100000,"80K-99K","100K+"))))</f>
        <v>40K-59K</v>
      </c>
      <c r="F806">
        <v>3</v>
      </c>
      <c r="G806" s="1" t="s">
        <v>18</v>
      </c>
      <c r="H806" s="1" t="s">
        <v>19</v>
      </c>
      <c r="I806" s="1" t="s">
        <v>17</v>
      </c>
      <c r="J806">
        <v>2</v>
      </c>
      <c r="K806" s="1" t="s">
        <v>15</v>
      </c>
      <c r="L806" s="1" t="s">
        <v>30</v>
      </c>
      <c r="M806">
        <v>32</v>
      </c>
      <c r="N806" s="1" t="str" cm="1">
        <f t="array" ref="N806">_xlfn.IFS(M806&lt;40, " Adult", M806&lt;60, "Middle Age", M806&gt;=60, "Older Adult")</f>
        <v xml:space="preserve"> Adult</v>
      </c>
      <c r="O806" s="1" t="s">
        <v>17</v>
      </c>
      <c r="P806" s="1" t="b">
        <f>IF(O806="Yes", 1)</f>
        <v>0</v>
      </c>
      <c r="Q806" s="1"/>
    </row>
    <row r="807" spans="1:17" x14ac:dyDescent="0.25">
      <c r="A807">
        <v>23089</v>
      </c>
      <c r="B807" s="1" t="s">
        <v>31</v>
      </c>
      <c r="C807" s="1" t="s">
        <v>32</v>
      </c>
      <c r="D807" s="2">
        <v>40000</v>
      </c>
      <c r="E807" s="2" t="str">
        <f>IF(bike_buyers[[#This Row],[Income]]&lt;40000,"Under 40K", IF(bike_buyers[[#This Row],[Income]]&lt;60000,"40K-59K", IF(bike_buyers[[#This Row],[Income]]&lt;80000,"60K-79K", IF(bike_buyers[[#This Row],[Income]]&lt;100000,"80K-99K","100K+"))))</f>
        <v>40K-59K</v>
      </c>
      <c r="F807">
        <v>0</v>
      </c>
      <c r="G807" s="1" t="s">
        <v>18</v>
      </c>
      <c r="H807" s="1" t="s">
        <v>13</v>
      </c>
      <c r="I807" s="1" t="s">
        <v>14</v>
      </c>
      <c r="J807">
        <v>1</v>
      </c>
      <c r="K807" s="1" t="s">
        <v>22</v>
      </c>
      <c r="L807" s="1" t="s">
        <v>30</v>
      </c>
      <c r="M807">
        <v>28</v>
      </c>
      <c r="N807" s="1" t="str" cm="1">
        <f t="array" ref="N807">_xlfn.IFS(M807&lt;40, " Adult", M807&lt;60, "Middle Age", M807&gt;=60, "Older Adult")</f>
        <v xml:space="preserve"> Adult</v>
      </c>
      <c r="O807" s="1" t="s">
        <v>17</v>
      </c>
      <c r="P807" s="1" t="b">
        <f>IF(O807="Yes", 1)</f>
        <v>0</v>
      </c>
      <c r="Q807" s="1"/>
    </row>
    <row r="808" spans="1:17" x14ac:dyDescent="0.25">
      <c r="A808">
        <v>18545</v>
      </c>
      <c r="B808" s="1" t="s">
        <v>31</v>
      </c>
      <c r="C808" s="1" t="s">
        <v>32</v>
      </c>
      <c r="D808" s="2">
        <v>40000</v>
      </c>
      <c r="E808" s="2" t="str">
        <f>IF(bike_buyers[[#This Row],[Income]]&lt;40000,"Under 40K", IF(bike_buyers[[#This Row],[Income]]&lt;60000,"40K-59K", IF(bike_buyers[[#This Row],[Income]]&lt;80000,"60K-79K", IF(bike_buyers[[#This Row],[Income]]&lt;100000,"80K-99K","100K+"))))</f>
        <v>40K-59K</v>
      </c>
      <c r="F808">
        <v>4</v>
      </c>
      <c r="G808" s="1" t="s">
        <v>26</v>
      </c>
      <c r="H808" s="1" t="s">
        <v>20</v>
      </c>
      <c r="I808" s="1" t="s">
        <v>17</v>
      </c>
      <c r="J808">
        <v>2</v>
      </c>
      <c r="K808" s="1" t="s">
        <v>62</v>
      </c>
      <c r="L808" s="1" t="s">
        <v>30</v>
      </c>
      <c r="M808">
        <v>61</v>
      </c>
      <c r="N808" s="1" t="str" cm="1">
        <f t="array" ref="N808">_xlfn.IFS(M808&lt;40, " Adult", M808&lt;60, "Middle Age", M808&gt;=60, "Older Adult")</f>
        <v>Older Adult</v>
      </c>
      <c r="O808" s="1" t="s">
        <v>14</v>
      </c>
      <c r="P808" s="1">
        <f>IF(O808="Yes", 1)</f>
        <v>1</v>
      </c>
      <c r="Q808" s="1"/>
    </row>
    <row r="809" spans="1:17" x14ac:dyDescent="0.25">
      <c r="A809">
        <v>28997</v>
      </c>
      <c r="B809" s="1" t="s">
        <v>34</v>
      </c>
      <c r="C809" s="1" t="s">
        <v>32</v>
      </c>
      <c r="D809" s="2">
        <v>40000</v>
      </c>
      <c r="E809" s="2" t="str">
        <f>IF(bike_buyers[[#This Row],[Income]]&lt;40000,"Under 40K", IF(bike_buyers[[#This Row],[Income]]&lt;60000,"40K-59K", IF(bike_buyers[[#This Row],[Income]]&lt;80000,"60K-79K", IF(bike_buyers[[#This Row],[Income]]&lt;100000,"80K-99K","100K+"))))</f>
        <v>40K-59K</v>
      </c>
      <c r="F809">
        <v>2</v>
      </c>
      <c r="G809" s="1" t="s">
        <v>26</v>
      </c>
      <c r="H809" s="1" t="s">
        <v>20</v>
      </c>
      <c r="I809" s="1" t="s">
        <v>17</v>
      </c>
      <c r="J809">
        <v>1</v>
      </c>
      <c r="K809" s="1" t="s">
        <v>21</v>
      </c>
      <c r="L809" s="1" t="s">
        <v>30</v>
      </c>
      <c r="M809">
        <v>58</v>
      </c>
      <c r="N809" s="1" t="str" cm="1">
        <f t="array" ref="N809">_xlfn.IFS(M809&lt;40, " Adult", M809&lt;60, "Middle Age", M809&gt;=60, "Older Adult")</f>
        <v>Middle Age</v>
      </c>
      <c r="O809" s="1" t="s">
        <v>14</v>
      </c>
      <c r="P809" s="1">
        <f>IF(O809="Yes", 1)</f>
        <v>1</v>
      </c>
      <c r="Q809" s="1"/>
    </row>
    <row r="810" spans="1:17" x14ac:dyDescent="0.25">
      <c r="A810">
        <v>25261</v>
      </c>
      <c r="B810" s="1" t="s">
        <v>31</v>
      </c>
      <c r="C810" s="1" t="s">
        <v>32</v>
      </c>
      <c r="D810" s="2">
        <v>40000</v>
      </c>
      <c r="E810" s="2" t="str">
        <f>IF(bike_buyers[[#This Row],[Income]]&lt;40000,"Under 40K", IF(bike_buyers[[#This Row],[Income]]&lt;60000,"40K-59K", IF(bike_buyers[[#This Row],[Income]]&lt;80000,"60K-79K", IF(bike_buyers[[#This Row],[Income]]&lt;100000,"80K-99K","100K+"))))</f>
        <v>40K-59K</v>
      </c>
      <c r="F810">
        <v>0</v>
      </c>
      <c r="G810" s="1" t="s">
        <v>26</v>
      </c>
      <c r="H810" s="1" t="s">
        <v>13</v>
      </c>
      <c r="I810" s="1" t="s">
        <v>14</v>
      </c>
      <c r="J810">
        <v>2</v>
      </c>
      <c r="K810" s="1" t="s">
        <v>22</v>
      </c>
      <c r="L810" s="1" t="s">
        <v>30</v>
      </c>
      <c r="M810">
        <v>27</v>
      </c>
      <c r="N810" s="1" t="str" cm="1">
        <f t="array" ref="N810">_xlfn.IFS(M810&lt;40, " Adult", M810&lt;60, "Middle Age", M810&gt;=60, "Older Adult")</f>
        <v xml:space="preserve"> Adult</v>
      </c>
      <c r="O810" s="1" t="s">
        <v>17</v>
      </c>
      <c r="P810" s="1" t="b">
        <f>IF(O810="Yes", 1)</f>
        <v>0</v>
      </c>
      <c r="Q810" s="1"/>
    </row>
    <row r="811" spans="1:17" x14ac:dyDescent="0.25">
      <c r="A811">
        <v>11644</v>
      </c>
      <c r="B811" s="1" t="s">
        <v>34</v>
      </c>
      <c r="C811" s="1" t="s">
        <v>32</v>
      </c>
      <c r="D811" s="2">
        <v>40000</v>
      </c>
      <c r="E811" s="2" t="str">
        <f>IF(bike_buyers[[#This Row],[Income]]&lt;40000,"Under 40K", IF(bike_buyers[[#This Row],[Income]]&lt;60000,"40K-59K", IF(bike_buyers[[#This Row],[Income]]&lt;80000,"60K-79K", IF(bike_buyers[[#This Row],[Income]]&lt;100000,"80K-99K","100K+"))))</f>
        <v>40K-59K</v>
      </c>
      <c r="F811">
        <v>2</v>
      </c>
      <c r="G811" s="1" t="s">
        <v>12</v>
      </c>
      <c r="H811" s="1" t="s">
        <v>13</v>
      </c>
      <c r="I811" s="1" t="s">
        <v>14</v>
      </c>
      <c r="J811">
        <v>0</v>
      </c>
      <c r="K811" s="1" t="s">
        <v>21</v>
      </c>
      <c r="L811" s="1" t="s">
        <v>30</v>
      </c>
      <c r="M811">
        <v>36</v>
      </c>
      <c r="N811" s="1" t="str" cm="1">
        <f t="array" ref="N811">_xlfn.IFS(M811&lt;40, " Adult", M811&lt;60, "Middle Age", M811&gt;=60, "Older Adult")</f>
        <v xml:space="preserve"> Adult</v>
      </c>
      <c r="O811" s="1" t="s">
        <v>17</v>
      </c>
      <c r="P811" s="1" t="b">
        <f>IF(O811="Yes", 1)</f>
        <v>0</v>
      </c>
      <c r="Q811" s="1"/>
    </row>
    <row r="812" spans="1:17" x14ac:dyDescent="0.25">
      <c r="A812">
        <v>17858</v>
      </c>
      <c r="B812" s="1" t="s">
        <v>31</v>
      </c>
      <c r="C812" s="1" t="s">
        <v>32</v>
      </c>
      <c r="D812" s="2">
        <v>40000</v>
      </c>
      <c r="E812" s="2" t="str">
        <f>IF(bike_buyers[[#This Row],[Income]]&lt;40000,"Under 40K", IF(bike_buyers[[#This Row],[Income]]&lt;60000,"40K-59K", IF(bike_buyers[[#This Row],[Income]]&lt;80000,"60K-79K", IF(bike_buyers[[#This Row],[Income]]&lt;100000,"80K-99K","100K+"))))</f>
        <v>40K-59K</v>
      </c>
      <c r="F812">
        <v>4</v>
      </c>
      <c r="G812" s="1" t="s">
        <v>26</v>
      </c>
      <c r="H812" s="1" t="s">
        <v>13</v>
      </c>
      <c r="I812" s="1" t="s">
        <v>14</v>
      </c>
      <c r="J812">
        <v>2</v>
      </c>
      <c r="K812" s="1" t="s">
        <v>21</v>
      </c>
      <c r="L812" s="1" t="s">
        <v>30</v>
      </c>
      <c r="M812">
        <v>44</v>
      </c>
      <c r="N812" s="1" t="str" cm="1">
        <f t="array" ref="N812">_xlfn.IFS(M812&lt;40, " Adult", M812&lt;60, "Middle Age", M812&gt;=60, "Older Adult")</f>
        <v>Middle Age</v>
      </c>
      <c r="O812" s="1" t="s">
        <v>14</v>
      </c>
      <c r="P812" s="1">
        <f>IF(O812="Yes", 1)</f>
        <v>1</v>
      </c>
      <c r="Q812" s="1"/>
    </row>
    <row r="813" spans="1:17" x14ac:dyDescent="0.25">
      <c r="A813">
        <v>15814</v>
      </c>
      <c r="B813" s="1" t="s">
        <v>34</v>
      </c>
      <c r="C813" s="1" t="s">
        <v>33</v>
      </c>
      <c r="D813" s="2">
        <v>40000</v>
      </c>
      <c r="E813" s="2" t="str">
        <f>IF(bike_buyers[[#This Row],[Income]]&lt;40000,"Under 40K", IF(bike_buyers[[#This Row],[Income]]&lt;60000,"40K-59K", IF(bike_buyers[[#This Row],[Income]]&lt;80000,"60K-79K", IF(bike_buyers[[#This Row],[Income]]&lt;100000,"80K-99K","100K+"))))</f>
        <v>40K-59K</v>
      </c>
      <c r="F813">
        <v>0</v>
      </c>
      <c r="G813" s="1" t="s">
        <v>26</v>
      </c>
      <c r="H813" s="1" t="s">
        <v>13</v>
      </c>
      <c r="I813" s="1" t="s">
        <v>14</v>
      </c>
      <c r="J813">
        <v>1</v>
      </c>
      <c r="K813" s="1" t="s">
        <v>22</v>
      </c>
      <c r="L813" s="1" t="s">
        <v>30</v>
      </c>
      <c r="M813">
        <v>30</v>
      </c>
      <c r="N813" s="1" t="str" cm="1">
        <f t="array" ref="N813">_xlfn.IFS(M813&lt;40, " Adult", M813&lt;60, "Middle Age", M813&gt;=60, "Older Adult")</f>
        <v xml:space="preserve"> Adult</v>
      </c>
      <c r="O813" s="1" t="s">
        <v>17</v>
      </c>
      <c r="P813" s="1" t="b">
        <f>IF(O813="Yes", 1)</f>
        <v>0</v>
      </c>
      <c r="Q813" s="1"/>
    </row>
    <row r="814" spans="1:17" x14ac:dyDescent="0.25">
      <c r="A814">
        <v>28815</v>
      </c>
      <c r="B814" s="1" t="s">
        <v>31</v>
      </c>
      <c r="C814" s="1" t="s">
        <v>33</v>
      </c>
      <c r="D814" s="2">
        <v>50000</v>
      </c>
      <c r="E814" s="2" t="str">
        <f>IF(bike_buyers[[#This Row],[Income]]&lt;40000,"Under 40K", IF(bike_buyers[[#This Row],[Income]]&lt;60000,"40K-59K", IF(bike_buyers[[#This Row],[Income]]&lt;80000,"60K-79K", IF(bike_buyers[[#This Row],[Income]]&lt;100000,"80K-99K","100K+"))))</f>
        <v>40K-59K</v>
      </c>
      <c r="F814">
        <v>1</v>
      </c>
      <c r="G814" s="1" t="s">
        <v>29</v>
      </c>
      <c r="H814" s="1" t="s">
        <v>13</v>
      </c>
      <c r="I814" s="1" t="s">
        <v>14</v>
      </c>
      <c r="J814">
        <v>0</v>
      </c>
      <c r="K814" s="1" t="s">
        <v>15</v>
      </c>
      <c r="L814" s="1" t="s">
        <v>30</v>
      </c>
      <c r="M814">
        <v>35</v>
      </c>
      <c r="N814" s="1" t="str" cm="1">
        <f t="array" ref="N814">_xlfn.IFS(M814&lt;40, " Adult", M814&lt;60, "Middle Age", M814&gt;=60, "Older Adult")</f>
        <v xml:space="preserve"> Adult</v>
      </c>
      <c r="O814" s="1" t="s">
        <v>17</v>
      </c>
      <c r="P814" s="1" t="b">
        <f>IF(O814="Yes", 1)</f>
        <v>0</v>
      </c>
      <c r="Q814" s="1"/>
    </row>
    <row r="815" spans="1:17" x14ac:dyDescent="0.25">
      <c r="A815">
        <v>27753</v>
      </c>
      <c r="B815" s="1" t="s">
        <v>31</v>
      </c>
      <c r="C815" s="1" t="s">
        <v>32</v>
      </c>
      <c r="D815" s="2">
        <v>40000</v>
      </c>
      <c r="E815" s="2" t="str">
        <f>IF(bike_buyers[[#This Row],[Income]]&lt;40000,"Under 40K", IF(bike_buyers[[#This Row],[Income]]&lt;60000,"40K-59K", IF(bike_buyers[[#This Row],[Income]]&lt;80000,"60K-79K", IF(bike_buyers[[#This Row],[Income]]&lt;100000,"80K-99K","100K+"))))</f>
        <v>40K-59K</v>
      </c>
      <c r="F815">
        <v>0</v>
      </c>
      <c r="G815" s="1" t="s">
        <v>26</v>
      </c>
      <c r="H815" s="1" t="s">
        <v>13</v>
      </c>
      <c r="I815" s="1" t="s">
        <v>17</v>
      </c>
      <c r="J815">
        <v>2</v>
      </c>
      <c r="K815" s="1" t="s">
        <v>25</v>
      </c>
      <c r="L815" s="1" t="s">
        <v>30</v>
      </c>
      <c r="M815">
        <v>30</v>
      </c>
      <c r="N815" s="1" t="str" cm="1">
        <f t="array" ref="N815">_xlfn.IFS(M815&lt;40, " Adult", M815&lt;60, "Middle Age", M815&gt;=60, "Older Adult")</f>
        <v xml:space="preserve"> Adult</v>
      </c>
      <c r="O815" s="1" t="s">
        <v>17</v>
      </c>
      <c r="P815" s="1" t="b">
        <f>IF(O815="Yes", 1)</f>
        <v>0</v>
      </c>
      <c r="Q815" s="1"/>
    </row>
    <row r="816" spans="1:17" x14ac:dyDescent="0.25">
      <c r="A816">
        <v>15272</v>
      </c>
      <c r="B816" s="1" t="s">
        <v>34</v>
      </c>
      <c r="C816" s="1" t="s">
        <v>32</v>
      </c>
      <c r="D816" s="2">
        <v>40000</v>
      </c>
      <c r="E816" s="2" t="str">
        <f>IF(bike_buyers[[#This Row],[Income]]&lt;40000,"Under 40K", IF(bike_buyers[[#This Row],[Income]]&lt;60000,"40K-59K", IF(bike_buyers[[#This Row],[Income]]&lt;80000,"60K-79K", IF(bike_buyers[[#This Row],[Income]]&lt;100000,"80K-99K","100K+"))))</f>
        <v>40K-59K</v>
      </c>
      <c r="F816">
        <v>0</v>
      </c>
      <c r="G816" s="1" t="s">
        <v>26</v>
      </c>
      <c r="H816" s="1" t="s">
        <v>13</v>
      </c>
      <c r="I816" s="1" t="s">
        <v>17</v>
      </c>
      <c r="J816">
        <v>2</v>
      </c>
      <c r="K816" s="1" t="s">
        <v>25</v>
      </c>
      <c r="L816" s="1" t="s">
        <v>30</v>
      </c>
      <c r="M816">
        <v>30</v>
      </c>
      <c r="N816" s="1" t="str" cm="1">
        <f t="array" ref="N816">_xlfn.IFS(M816&lt;40, " Adult", M816&lt;60, "Middle Age", M816&gt;=60, "Older Adult")</f>
        <v xml:space="preserve"> Adult</v>
      </c>
      <c r="O816" s="1" t="s">
        <v>17</v>
      </c>
      <c r="P816" s="1" t="b">
        <f>IF(O816="Yes", 1)</f>
        <v>0</v>
      </c>
      <c r="Q816" s="1"/>
    </row>
    <row r="817" spans="1:17" x14ac:dyDescent="0.25">
      <c r="A817">
        <v>21441</v>
      </c>
      <c r="B817" s="1" t="s">
        <v>31</v>
      </c>
      <c r="C817" s="1" t="s">
        <v>32</v>
      </c>
      <c r="D817" s="2">
        <v>50000</v>
      </c>
      <c r="E817" s="2" t="str">
        <f>IF(bike_buyers[[#This Row],[Income]]&lt;40000,"Under 40K", IF(bike_buyers[[#This Row],[Income]]&lt;60000,"40K-59K", IF(bike_buyers[[#This Row],[Income]]&lt;80000,"60K-79K", IF(bike_buyers[[#This Row],[Income]]&lt;100000,"80K-99K","100K+"))))</f>
        <v>40K-59K</v>
      </c>
      <c r="F817">
        <v>4</v>
      </c>
      <c r="G817" s="1" t="s">
        <v>12</v>
      </c>
      <c r="H817" s="1" t="s">
        <v>27</v>
      </c>
      <c r="I817" s="1" t="s">
        <v>14</v>
      </c>
      <c r="J817">
        <v>2</v>
      </c>
      <c r="K817" s="1" t="s">
        <v>62</v>
      </c>
      <c r="L817" s="1" t="s">
        <v>30</v>
      </c>
      <c r="M817">
        <v>64</v>
      </c>
      <c r="N817" s="1" t="str" cm="1">
        <f t="array" ref="N817">_xlfn.IFS(M817&lt;40, " Adult", M817&lt;60, "Middle Age", M817&gt;=60, "Older Adult")</f>
        <v>Older Adult</v>
      </c>
      <c r="O817" s="1" t="s">
        <v>17</v>
      </c>
      <c r="P817" s="1" t="b">
        <f>IF(O817="Yes", 1)</f>
        <v>0</v>
      </c>
      <c r="Q817" s="1"/>
    </row>
    <row r="818" spans="1:17" x14ac:dyDescent="0.25">
      <c r="A818">
        <v>22010</v>
      </c>
      <c r="B818" s="1" t="s">
        <v>34</v>
      </c>
      <c r="C818" s="1" t="s">
        <v>32</v>
      </c>
      <c r="D818" s="2">
        <v>40000</v>
      </c>
      <c r="E818" s="2" t="str">
        <f>IF(bike_buyers[[#This Row],[Income]]&lt;40000,"Under 40K", IF(bike_buyers[[#This Row],[Income]]&lt;60000,"40K-59K", IF(bike_buyers[[#This Row],[Income]]&lt;80000,"60K-79K", IF(bike_buyers[[#This Row],[Income]]&lt;100000,"80K-99K","100K+"))))</f>
        <v>40K-59K</v>
      </c>
      <c r="F818">
        <v>0</v>
      </c>
      <c r="G818" s="1" t="s">
        <v>26</v>
      </c>
      <c r="H818" s="1" t="s">
        <v>13</v>
      </c>
      <c r="I818" s="1" t="s">
        <v>14</v>
      </c>
      <c r="J818">
        <v>2</v>
      </c>
      <c r="K818" s="1" t="s">
        <v>22</v>
      </c>
      <c r="L818" s="1" t="s">
        <v>30</v>
      </c>
      <c r="M818">
        <v>31</v>
      </c>
      <c r="N818" s="1" t="str" cm="1">
        <f t="array" ref="N818">_xlfn.IFS(M818&lt;40, " Adult", M818&lt;60, "Middle Age", M818&gt;=60, "Older Adult")</f>
        <v xml:space="preserve"> Adult</v>
      </c>
      <c r="O818" s="1" t="s">
        <v>17</v>
      </c>
      <c r="P818" s="1" t="b">
        <f>IF(O818="Yes", 1)</f>
        <v>0</v>
      </c>
      <c r="Q818" s="1"/>
    </row>
    <row r="819" spans="1:17" x14ac:dyDescent="0.25">
      <c r="A819">
        <v>29106</v>
      </c>
      <c r="B819" s="1" t="s">
        <v>34</v>
      </c>
      <c r="C819" s="1" t="s">
        <v>32</v>
      </c>
      <c r="D819" s="2">
        <v>40000</v>
      </c>
      <c r="E819" s="2" t="str">
        <f>IF(bike_buyers[[#This Row],[Income]]&lt;40000,"Under 40K", IF(bike_buyers[[#This Row],[Income]]&lt;60000,"40K-59K", IF(bike_buyers[[#This Row],[Income]]&lt;80000,"60K-79K", IF(bike_buyers[[#This Row],[Income]]&lt;100000,"80K-99K","100K+"))))</f>
        <v>40K-59K</v>
      </c>
      <c r="F819">
        <v>0</v>
      </c>
      <c r="G819" s="1" t="s">
        <v>26</v>
      </c>
      <c r="H819" s="1" t="s">
        <v>13</v>
      </c>
      <c r="I819" s="1" t="s">
        <v>17</v>
      </c>
      <c r="J819">
        <v>2</v>
      </c>
      <c r="K819" s="1" t="s">
        <v>25</v>
      </c>
      <c r="L819" s="1" t="s">
        <v>30</v>
      </c>
      <c r="M819">
        <v>31</v>
      </c>
      <c r="N819" s="1" t="str" cm="1">
        <f t="array" ref="N819">_xlfn.IFS(M819&lt;40, " Adult", M819&lt;60, "Middle Age", M819&gt;=60, "Older Adult")</f>
        <v xml:space="preserve"> Adult</v>
      </c>
      <c r="O819" s="1" t="s">
        <v>14</v>
      </c>
      <c r="P819" s="1">
        <f>IF(O819="Yes", 1)</f>
        <v>1</v>
      </c>
      <c r="Q819" s="1"/>
    </row>
    <row r="820" spans="1:17" x14ac:dyDescent="0.25">
      <c r="A820">
        <v>26236</v>
      </c>
      <c r="B820" s="1" t="s">
        <v>31</v>
      </c>
      <c r="C820" s="1" t="s">
        <v>33</v>
      </c>
      <c r="D820" s="2">
        <v>40000</v>
      </c>
      <c r="E820" s="2" t="str">
        <f>IF(bike_buyers[[#This Row],[Income]]&lt;40000,"Under 40K", IF(bike_buyers[[#This Row],[Income]]&lt;60000,"40K-59K", IF(bike_buyers[[#This Row],[Income]]&lt;80000,"60K-79K", IF(bike_buyers[[#This Row],[Income]]&lt;100000,"80K-99K","100K+"))))</f>
        <v>40K-59K</v>
      </c>
      <c r="F820">
        <v>3</v>
      </c>
      <c r="G820" s="1" t="s">
        <v>18</v>
      </c>
      <c r="H820" s="1" t="s">
        <v>19</v>
      </c>
      <c r="I820" s="1" t="s">
        <v>14</v>
      </c>
      <c r="J820">
        <v>1</v>
      </c>
      <c r="K820" s="1" t="s">
        <v>15</v>
      </c>
      <c r="L820" s="1" t="s">
        <v>30</v>
      </c>
      <c r="M820">
        <v>31</v>
      </c>
      <c r="N820" s="1" t="str" cm="1">
        <f t="array" ref="N820">_xlfn.IFS(M820&lt;40, " Adult", M820&lt;60, "Middle Age", M820&gt;=60, "Older Adult")</f>
        <v xml:space="preserve"> Adult</v>
      </c>
      <c r="O820" s="1" t="s">
        <v>17</v>
      </c>
      <c r="P820" s="1" t="b">
        <f>IF(O820="Yes", 1)</f>
        <v>0</v>
      </c>
      <c r="Q820" s="1"/>
    </row>
    <row r="821" spans="1:17" x14ac:dyDescent="0.25">
      <c r="A821">
        <v>19133</v>
      </c>
      <c r="B821" s="1" t="s">
        <v>34</v>
      </c>
      <c r="C821" s="1" t="s">
        <v>32</v>
      </c>
      <c r="D821" s="2">
        <v>50000</v>
      </c>
      <c r="E821" s="2" t="str">
        <f>IF(bike_buyers[[#This Row],[Income]]&lt;40000,"Under 40K", IF(bike_buyers[[#This Row],[Income]]&lt;60000,"40K-59K", IF(bike_buyers[[#This Row],[Income]]&lt;80000,"60K-79K", IF(bike_buyers[[#This Row],[Income]]&lt;100000,"80K-99K","100K+"))))</f>
        <v>40K-59K</v>
      </c>
      <c r="F821">
        <v>2</v>
      </c>
      <c r="G821" s="1" t="s">
        <v>12</v>
      </c>
      <c r="H821" s="1" t="s">
        <v>13</v>
      </c>
      <c r="I821" s="1" t="s">
        <v>14</v>
      </c>
      <c r="J821">
        <v>1</v>
      </c>
      <c r="K821" s="1" t="s">
        <v>21</v>
      </c>
      <c r="L821" s="1" t="s">
        <v>30</v>
      </c>
      <c r="M821">
        <v>38</v>
      </c>
      <c r="N821" s="1" t="str" cm="1">
        <f t="array" ref="N821">_xlfn.IFS(M821&lt;40, " Adult", M821&lt;60, "Middle Age", M821&gt;=60, "Older Adult")</f>
        <v xml:space="preserve"> Adult</v>
      </c>
      <c r="O821" s="1" t="s">
        <v>14</v>
      </c>
      <c r="P821" s="1">
        <f>IF(O821="Yes", 1)</f>
        <v>1</v>
      </c>
      <c r="Q821" s="1"/>
    </row>
    <row r="822" spans="1:17" x14ac:dyDescent="0.25">
      <c r="A822">
        <v>22976</v>
      </c>
      <c r="B822" s="1" t="s">
        <v>34</v>
      </c>
      <c r="C822" s="1" t="s">
        <v>32</v>
      </c>
      <c r="D822" s="2">
        <v>40000</v>
      </c>
      <c r="E822" s="2" t="str">
        <f>IF(bike_buyers[[#This Row],[Income]]&lt;40000,"Under 40K", IF(bike_buyers[[#This Row],[Income]]&lt;60000,"40K-59K", IF(bike_buyers[[#This Row],[Income]]&lt;80000,"60K-79K", IF(bike_buyers[[#This Row],[Income]]&lt;100000,"80K-99K","100K+"))))</f>
        <v>40K-59K</v>
      </c>
      <c r="F822">
        <v>0</v>
      </c>
      <c r="G822" s="1" t="s">
        <v>26</v>
      </c>
      <c r="H822" s="1" t="s">
        <v>13</v>
      </c>
      <c r="I822" s="1" t="s">
        <v>17</v>
      </c>
      <c r="J822">
        <v>2</v>
      </c>
      <c r="K822" s="1" t="s">
        <v>15</v>
      </c>
      <c r="L822" s="1" t="s">
        <v>30</v>
      </c>
      <c r="M822">
        <v>28</v>
      </c>
      <c r="N822" s="1" t="str" cm="1">
        <f t="array" ref="N822">_xlfn.IFS(M822&lt;40, " Adult", M822&lt;60, "Middle Age", M822&gt;=60, "Older Adult")</f>
        <v xml:space="preserve"> Adult</v>
      </c>
      <c r="O822" s="1" t="s">
        <v>14</v>
      </c>
      <c r="P822" s="1">
        <f>IF(O822="Yes", 1)</f>
        <v>1</v>
      </c>
      <c r="Q822" s="1"/>
    </row>
    <row r="823" spans="1:17" x14ac:dyDescent="0.25">
      <c r="A823">
        <v>20505</v>
      </c>
      <c r="B823" s="1" t="s">
        <v>31</v>
      </c>
      <c r="C823" s="1" t="s">
        <v>33</v>
      </c>
      <c r="D823" s="2">
        <v>40000</v>
      </c>
      <c r="E823" s="2" t="str">
        <f>IF(bike_buyers[[#This Row],[Income]]&lt;40000,"Under 40K", IF(bike_buyers[[#This Row],[Income]]&lt;60000,"40K-59K", IF(bike_buyers[[#This Row],[Income]]&lt;80000,"60K-79K", IF(bike_buyers[[#This Row],[Income]]&lt;100000,"80K-99K","100K+"))))</f>
        <v>40K-59K</v>
      </c>
      <c r="F823">
        <v>5</v>
      </c>
      <c r="G823" s="1" t="s">
        <v>26</v>
      </c>
      <c r="H823" s="1" t="s">
        <v>20</v>
      </c>
      <c r="I823" s="1" t="s">
        <v>17</v>
      </c>
      <c r="J823">
        <v>2</v>
      </c>
      <c r="K823" s="1" t="s">
        <v>62</v>
      </c>
      <c r="L823" s="1" t="s">
        <v>30</v>
      </c>
      <c r="M823">
        <v>61</v>
      </c>
      <c r="N823" s="1" t="str" cm="1">
        <f t="array" ref="N823">_xlfn.IFS(M823&lt;40, " Adult", M823&lt;60, "Middle Age", M823&gt;=60, "Older Adult")</f>
        <v>Older Adult</v>
      </c>
      <c r="O823" s="1" t="s">
        <v>17</v>
      </c>
      <c r="P823" s="1" t="b">
        <f>IF(O823="Yes", 1)</f>
        <v>0</v>
      </c>
      <c r="Q823" s="1"/>
    </row>
    <row r="824" spans="1:17" x14ac:dyDescent="0.25">
      <c r="A824">
        <v>21260</v>
      </c>
      <c r="B824" s="1" t="s">
        <v>34</v>
      </c>
      <c r="C824" s="1" t="s">
        <v>33</v>
      </c>
      <c r="D824" s="2">
        <v>40000</v>
      </c>
      <c r="E824" s="2" t="str">
        <f>IF(bike_buyers[[#This Row],[Income]]&lt;40000,"Under 40K", IF(bike_buyers[[#This Row],[Income]]&lt;60000,"40K-59K", IF(bike_buyers[[#This Row],[Income]]&lt;80000,"60K-79K", IF(bike_buyers[[#This Row],[Income]]&lt;100000,"80K-99K","100K+"))))</f>
        <v>40K-59K</v>
      </c>
      <c r="F824">
        <v>0</v>
      </c>
      <c r="G824" s="1" t="s">
        <v>26</v>
      </c>
      <c r="H824" s="1" t="s">
        <v>13</v>
      </c>
      <c r="I824" s="1" t="s">
        <v>14</v>
      </c>
      <c r="J824">
        <v>2</v>
      </c>
      <c r="K824" s="1" t="s">
        <v>22</v>
      </c>
      <c r="L824" s="1" t="s">
        <v>30</v>
      </c>
      <c r="M824">
        <v>30</v>
      </c>
      <c r="N824" s="1" t="str" cm="1">
        <f t="array" ref="N824">_xlfn.IFS(M824&lt;40, " Adult", M824&lt;60, "Middle Age", M824&gt;=60, "Older Adult")</f>
        <v xml:space="preserve"> Adult</v>
      </c>
      <c r="O824" s="1" t="s">
        <v>17</v>
      </c>
      <c r="P824" s="1" t="b">
        <f>IF(O824="Yes", 1)</f>
        <v>0</v>
      </c>
      <c r="Q824" s="1"/>
    </row>
    <row r="825" spans="1:17" x14ac:dyDescent="0.25">
      <c r="A825">
        <v>21717</v>
      </c>
      <c r="B825" s="1" t="s">
        <v>31</v>
      </c>
      <c r="C825" s="1" t="s">
        <v>32</v>
      </c>
      <c r="D825" s="2">
        <v>40000</v>
      </c>
      <c r="E825" s="2" t="str">
        <f>IF(bike_buyers[[#This Row],[Income]]&lt;40000,"Under 40K", IF(bike_buyers[[#This Row],[Income]]&lt;60000,"40K-59K", IF(bike_buyers[[#This Row],[Income]]&lt;80000,"60K-79K", IF(bike_buyers[[#This Row],[Income]]&lt;100000,"80K-99K","100K+"))))</f>
        <v>40K-59K</v>
      </c>
      <c r="F825">
        <v>2</v>
      </c>
      <c r="G825" s="1" t="s">
        <v>18</v>
      </c>
      <c r="H825" s="1" t="s">
        <v>19</v>
      </c>
      <c r="I825" s="1" t="s">
        <v>14</v>
      </c>
      <c r="J825">
        <v>1</v>
      </c>
      <c r="K825" s="1" t="s">
        <v>15</v>
      </c>
      <c r="L825" s="1" t="s">
        <v>30</v>
      </c>
      <c r="M825">
        <v>47</v>
      </c>
      <c r="N825" s="1" t="str" cm="1">
        <f t="array" ref="N825">_xlfn.IFS(M825&lt;40, " Adult", M825&lt;60, "Middle Age", M825&gt;=60, "Older Adult")</f>
        <v>Middle Age</v>
      </c>
      <c r="O825" s="1" t="s">
        <v>17</v>
      </c>
      <c r="P825" s="1" t="b">
        <f>IF(O825="Yes", 1)</f>
        <v>0</v>
      </c>
      <c r="Q825" s="1"/>
    </row>
    <row r="826" spans="1:17" x14ac:dyDescent="0.25">
      <c r="A826">
        <v>12774</v>
      </c>
      <c r="B826" s="1" t="s">
        <v>31</v>
      </c>
      <c r="C826" s="1" t="s">
        <v>33</v>
      </c>
      <c r="D826" s="2">
        <v>40000</v>
      </c>
      <c r="E826" s="2" t="str">
        <f>IF(bike_buyers[[#This Row],[Income]]&lt;40000,"Under 40K", IF(bike_buyers[[#This Row],[Income]]&lt;60000,"40K-59K", IF(bike_buyers[[#This Row],[Income]]&lt;80000,"60K-79K", IF(bike_buyers[[#This Row],[Income]]&lt;100000,"80K-99K","100K+"))))</f>
        <v>40K-59K</v>
      </c>
      <c r="F826">
        <v>1</v>
      </c>
      <c r="G826" s="1" t="s">
        <v>18</v>
      </c>
      <c r="H826" s="1" t="s">
        <v>19</v>
      </c>
      <c r="I826" s="1" t="s">
        <v>14</v>
      </c>
      <c r="J826">
        <v>1</v>
      </c>
      <c r="K826" s="1" t="s">
        <v>25</v>
      </c>
      <c r="L826" s="1" t="s">
        <v>30</v>
      </c>
      <c r="M826">
        <v>51</v>
      </c>
      <c r="N826" s="1" t="str" cm="1">
        <f t="array" ref="N826">_xlfn.IFS(M826&lt;40, " Adult", M826&lt;60, "Middle Age", M826&gt;=60, "Older Adult")</f>
        <v>Middle Age</v>
      </c>
      <c r="O826" s="1" t="s">
        <v>14</v>
      </c>
      <c r="P826" s="1">
        <f>IF(O826="Yes", 1)</f>
        <v>1</v>
      </c>
      <c r="Q826" s="1"/>
    </row>
    <row r="827" spans="1:17" x14ac:dyDescent="0.25">
      <c r="A827">
        <v>23144</v>
      </c>
      <c r="B827" s="1" t="s">
        <v>31</v>
      </c>
      <c r="C827" s="1" t="s">
        <v>32</v>
      </c>
      <c r="D827" s="2">
        <v>50000</v>
      </c>
      <c r="E827" s="2" t="str">
        <f>IF(bike_buyers[[#This Row],[Income]]&lt;40000,"Under 40K", IF(bike_buyers[[#This Row],[Income]]&lt;60000,"40K-59K", IF(bike_buyers[[#This Row],[Income]]&lt;80000,"60K-79K", IF(bike_buyers[[#This Row],[Income]]&lt;100000,"80K-99K","100K+"))))</f>
        <v>40K-59K</v>
      </c>
      <c r="F827">
        <v>1</v>
      </c>
      <c r="G827" s="1" t="s">
        <v>12</v>
      </c>
      <c r="H827" s="1" t="s">
        <v>13</v>
      </c>
      <c r="I827" s="1" t="s">
        <v>14</v>
      </c>
      <c r="J827">
        <v>0</v>
      </c>
      <c r="K827" s="1" t="s">
        <v>15</v>
      </c>
      <c r="L827" s="1" t="s">
        <v>30</v>
      </c>
      <c r="M827">
        <v>34</v>
      </c>
      <c r="N827" s="1" t="str" cm="1">
        <f t="array" ref="N827">_xlfn.IFS(M827&lt;40, " Adult", M827&lt;60, "Middle Age", M827&gt;=60, "Older Adult")</f>
        <v xml:space="preserve"> Adult</v>
      </c>
      <c r="O827" s="1" t="s">
        <v>14</v>
      </c>
      <c r="P827" s="1">
        <f>IF(O827="Yes", 1)</f>
        <v>1</v>
      </c>
      <c r="Q827" s="1"/>
    </row>
    <row r="828" spans="1:17" x14ac:dyDescent="0.25">
      <c r="A828">
        <v>11619</v>
      </c>
      <c r="B828" s="1" t="s">
        <v>34</v>
      </c>
      <c r="C828" s="1" t="s">
        <v>33</v>
      </c>
      <c r="D828" s="2">
        <v>50000</v>
      </c>
      <c r="E828" s="2" t="str">
        <f>IF(bike_buyers[[#This Row],[Income]]&lt;40000,"Under 40K", IF(bike_buyers[[#This Row],[Income]]&lt;60000,"40K-59K", IF(bike_buyers[[#This Row],[Income]]&lt;80000,"60K-79K", IF(bike_buyers[[#This Row],[Income]]&lt;100000,"80K-99K","100K+"))))</f>
        <v>40K-59K</v>
      </c>
      <c r="F828">
        <v>0</v>
      </c>
      <c r="G828" s="1" t="s">
        <v>29</v>
      </c>
      <c r="H828" s="1" t="s">
        <v>13</v>
      </c>
      <c r="I828" s="1" t="s">
        <v>14</v>
      </c>
      <c r="J828">
        <v>0</v>
      </c>
      <c r="K828" s="1" t="s">
        <v>25</v>
      </c>
      <c r="L828" s="1" t="s">
        <v>30</v>
      </c>
      <c r="M828">
        <v>33</v>
      </c>
      <c r="N828" s="1" t="str" cm="1">
        <f t="array" ref="N828">_xlfn.IFS(M828&lt;40, " Adult", M828&lt;60, "Middle Age", M828&gt;=60, "Older Adult")</f>
        <v xml:space="preserve"> Adult</v>
      </c>
      <c r="O828" s="1" t="s">
        <v>17</v>
      </c>
      <c r="P828" s="1" t="b">
        <f>IF(O828="Yes", 1)</f>
        <v>0</v>
      </c>
      <c r="Q828" s="1"/>
    </row>
    <row r="829" spans="1:17" x14ac:dyDescent="0.25">
      <c r="A829">
        <v>29132</v>
      </c>
      <c r="B829" s="1" t="s">
        <v>34</v>
      </c>
      <c r="C829" s="1" t="s">
        <v>33</v>
      </c>
      <c r="D829" s="2">
        <v>40000</v>
      </c>
      <c r="E829" s="2" t="str">
        <f>IF(bike_buyers[[#This Row],[Income]]&lt;40000,"Under 40K", IF(bike_buyers[[#This Row],[Income]]&lt;60000,"40K-59K", IF(bike_buyers[[#This Row],[Income]]&lt;80000,"60K-79K", IF(bike_buyers[[#This Row],[Income]]&lt;100000,"80K-99K","100K+"))))</f>
        <v>40K-59K</v>
      </c>
      <c r="F829">
        <v>0</v>
      </c>
      <c r="G829" s="1" t="s">
        <v>12</v>
      </c>
      <c r="H829" s="1" t="s">
        <v>20</v>
      </c>
      <c r="I829" s="1" t="s">
        <v>14</v>
      </c>
      <c r="J829">
        <v>1</v>
      </c>
      <c r="K829" s="1" t="s">
        <v>21</v>
      </c>
      <c r="L829" s="1" t="s">
        <v>30</v>
      </c>
      <c r="M829">
        <v>42</v>
      </c>
      <c r="N829" s="1" t="str" cm="1">
        <f t="array" ref="N829">_xlfn.IFS(M829&lt;40, " Adult", M829&lt;60, "Middle Age", M829&gt;=60, "Older Adult")</f>
        <v>Middle Age</v>
      </c>
      <c r="O829" s="1" t="s">
        <v>14</v>
      </c>
      <c r="P829" s="1">
        <f>IF(O829="Yes", 1)</f>
        <v>1</v>
      </c>
      <c r="Q829" s="1"/>
    </row>
    <row r="830" spans="1:17" x14ac:dyDescent="0.25">
      <c r="A830">
        <v>28026</v>
      </c>
      <c r="B830" s="1" t="s">
        <v>31</v>
      </c>
      <c r="C830" s="1" t="s">
        <v>33</v>
      </c>
      <c r="D830" s="2">
        <v>40000</v>
      </c>
      <c r="E830" s="2" t="str">
        <f>IF(bike_buyers[[#This Row],[Income]]&lt;40000,"Under 40K", IF(bike_buyers[[#This Row],[Income]]&lt;60000,"40K-59K", IF(bike_buyers[[#This Row],[Income]]&lt;80000,"60K-79K", IF(bike_buyers[[#This Row],[Income]]&lt;100000,"80K-99K","100K+"))))</f>
        <v>40K-59K</v>
      </c>
      <c r="F830">
        <v>2</v>
      </c>
      <c r="G830" s="1" t="s">
        <v>26</v>
      </c>
      <c r="H830" s="1" t="s">
        <v>20</v>
      </c>
      <c r="I830" s="1" t="s">
        <v>17</v>
      </c>
      <c r="J830">
        <v>2</v>
      </c>
      <c r="K830" s="1" t="s">
        <v>21</v>
      </c>
      <c r="L830" s="1" t="s">
        <v>30</v>
      </c>
      <c r="M830">
        <v>59</v>
      </c>
      <c r="N830" s="1" t="str" cm="1">
        <f t="array" ref="N830">_xlfn.IFS(M830&lt;40, " Adult", M830&lt;60, "Middle Age", M830&gt;=60, "Older Adult")</f>
        <v>Middle Age</v>
      </c>
      <c r="O830" s="1" t="s">
        <v>17</v>
      </c>
      <c r="P830" s="1" t="b">
        <f>IF(O830="Yes", 1)</f>
        <v>0</v>
      </c>
      <c r="Q830" s="1"/>
    </row>
    <row r="831" spans="1:17" x14ac:dyDescent="0.25">
      <c r="A831">
        <v>16020</v>
      </c>
      <c r="B831" s="1" t="s">
        <v>31</v>
      </c>
      <c r="C831" s="1" t="s">
        <v>32</v>
      </c>
      <c r="D831" s="2">
        <v>40000</v>
      </c>
      <c r="E831" s="2" t="str">
        <f>IF(bike_buyers[[#This Row],[Income]]&lt;40000,"Under 40K", IF(bike_buyers[[#This Row],[Income]]&lt;60000,"40K-59K", IF(bike_buyers[[#This Row],[Income]]&lt;80000,"60K-79K", IF(bike_buyers[[#This Row],[Income]]&lt;100000,"80K-99K","100K+"))))</f>
        <v>40K-59K</v>
      </c>
      <c r="F831">
        <v>0</v>
      </c>
      <c r="G831" s="1" t="s">
        <v>26</v>
      </c>
      <c r="H831" s="1" t="s">
        <v>13</v>
      </c>
      <c r="I831" s="1" t="s">
        <v>14</v>
      </c>
      <c r="J831">
        <v>2</v>
      </c>
      <c r="K831" s="1" t="s">
        <v>22</v>
      </c>
      <c r="L831" s="1" t="s">
        <v>30</v>
      </c>
      <c r="M831">
        <v>28</v>
      </c>
      <c r="N831" s="1" t="str" cm="1">
        <f t="array" ref="N831">_xlfn.IFS(M831&lt;40, " Adult", M831&lt;60, "Middle Age", M831&gt;=60, "Older Adult")</f>
        <v xml:space="preserve"> Adult</v>
      </c>
      <c r="O831" s="1" t="s">
        <v>14</v>
      </c>
      <c r="P831" s="1">
        <f>IF(O831="Yes", 1)</f>
        <v>1</v>
      </c>
      <c r="Q831" s="1"/>
    </row>
    <row r="832" spans="1:17" x14ac:dyDescent="0.25">
      <c r="A832">
        <v>24958</v>
      </c>
      <c r="B832" s="1" t="s">
        <v>34</v>
      </c>
      <c r="C832" s="1" t="s">
        <v>33</v>
      </c>
      <c r="D832" s="2">
        <v>40000</v>
      </c>
      <c r="E832" s="2" t="str">
        <f>IF(bike_buyers[[#This Row],[Income]]&lt;40000,"Under 40K", IF(bike_buyers[[#This Row],[Income]]&lt;60000,"40K-59K", IF(bike_buyers[[#This Row],[Income]]&lt;80000,"60K-79K", IF(bike_buyers[[#This Row],[Income]]&lt;100000,"80K-99K","100K+"))))</f>
        <v>40K-59K</v>
      </c>
      <c r="F832">
        <v>5</v>
      </c>
      <c r="G832" s="1" t="s">
        <v>26</v>
      </c>
      <c r="H832" s="1" t="s">
        <v>20</v>
      </c>
      <c r="I832" s="1" t="s">
        <v>17</v>
      </c>
      <c r="J832">
        <v>3</v>
      </c>
      <c r="K832" s="1" t="s">
        <v>21</v>
      </c>
      <c r="L832" s="1" t="s">
        <v>30</v>
      </c>
      <c r="M832">
        <v>60</v>
      </c>
      <c r="N832" s="1" t="str" cm="1">
        <f t="array" ref="N832">_xlfn.IFS(M832&lt;40, " Adult", M832&lt;60, "Middle Age", M832&gt;=60, "Older Adult")</f>
        <v>Older Adult</v>
      </c>
      <c r="O832" s="1" t="s">
        <v>14</v>
      </c>
      <c r="P832" s="1">
        <f>IF(O832="Yes", 1)</f>
        <v>1</v>
      </c>
      <c r="Q832" s="1"/>
    </row>
    <row r="833" spans="1:17" x14ac:dyDescent="0.25">
      <c r="A833">
        <v>27731</v>
      </c>
      <c r="B833" s="1" t="s">
        <v>31</v>
      </c>
      <c r="C833" s="1" t="s">
        <v>32</v>
      </c>
      <c r="D833" s="2">
        <v>40000</v>
      </c>
      <c r="E833" s="2" t="str">
        <f>IF(bike_buyers[[#This Row],[Income]]&lt;40000,"Under 40K", IF(bike_buyers[[#This Row],[Income]]&lt;60000,"40K-59K", IF(bike_buyers[[#This Row],[Income]]&lt;80000,"60K-79K", IF(bike_buyers[[#This Row],[Income]]&lt;100000,"80K-99K","100K+"))))</f>
        <v>40K-59K</v>
      </c>
      <c r="F833">
        <v>0</v>
      </c>
      <c r="G833" s="1" t="s">
        <v>26</v>
      </c>
      <c r="H833" s="1" t="s">
        <v>13</v>
      </c>
      <c r="I833" s="1" t="s">
        <v>14</v>
      </c>
      <c r="J833">
        <v>2</v>
      </c>
      <c r="K833" s="1" t="s">
        <v>22</v>
      </c>
      <c r="L833" s="1" t="s">
        <v>30</v>
      </c>
      <c r="M833">
        <v>27</v>
      </c>
      <c r="N833" s="1" t="str" cm="1">
        <f t="array" ref="N833">_xlfn.IFS(M833&lt;40, " Adult", M833&lt;60, "Middle Age", M833&gt;=60, "Older Adult")</f>
        <v xml:space="preserve"> Adult</v>
      </c>
      <c r="O833" s="1" t="s">
        <v>17</v>
      </c>
      <c r="P833" s="1" t="b">
        <f>IF(O833="Yes", 1)</f>
        <v>0</v>
      </c>
      <c r="Q833" s="1"/>
    </row>
    <row r="834" spans="1:17" x14ac:dyDescent="0.25">
      <c r="A834">
        <v>19634</v>
      </c>
      <c r="B834" s="1" t="s">
        <v>31</v>
      </c>
      <c r="C834" s="1" t="s">
        <v>32</v>
      </c>
      <c r="D834" s="2">
        <v>40000</v>
      </c>
      <c r="E834" s="2" t="str">
        <f>IF(bike_buyers[[#This Row],[Income]]&lt;40000,"Under 40K", IF(bike_buyers[[#This Row],[Income]]&lt;60000,"40K-59K", IF(bike_buyers[[#This Row],[Income]]&lt;80000,"60K-79K", IF(bike_buyers[[#This Row],[Income]]&lt;100000,"80K-99K","100K+"))))</f>
        <v>40K-59K</v>
      </c>
      <c r="F834">
        <v>0</v>
      </c>
      <c r="G834" s="1" t="s">
        <v>26</v>
      </c>
      <c r="H834" s="1" t="s">
        <v>13</v>
      </c>
      <c r="I834" s="1" t="s">
        <v>14</v>
      </c>
      <c r="J834">
        <v>1</v>
      </c>
      <c r="K834" s="1" t="s">
        <v>22</v>
      </c>
      <c r="L834" s="1" t="s">
        <v>30</v>
      </c>
      <c r="M834">
        <v>31</v>
      </c>
      <c r="N834" s="1" t="str" cm="1">
        <f t="array" ref="N834">_xlfn.IFS(M834&lt;40, " Adult", M834&lt;60, "Middle Age", M834&gt;=60, "Older Adult")</f>
        <v xml:space="preserve"> Adult</v>
      </c>
      <c r="O834" s="1" t="s">
        <v>17</v>
      </c>
      <c r="P834" s="1" t="b">
        <f>IF(O834="Yes", 1)</f>
        <v>0</v>
      </c>
      <c r="Q834" s="1"/>
    </row>
    <row r="835" spans="1:17" x14ac:dyDescent="0.25">
      <c r="A835">
        <v>28799</v>
      </c>
      <c r="B835" s="1" t="s">
        <v>34</v>
      </c>
      <c r="C835" s="1" t="s">
        <v>33</v>
      </c>
      <c r="D835" s="2">
        <v>40000</v>
      </c>
      <c r="E835" s="2" t="str">
        <f>IF(bike_buyers[[#This Row],[Income]]&lt;40000,"Under 40K", IF(bike_buyers[[#This Row],[Income]]&lt;60000,"40K-59K", IF(bike_buyers[[#This Row],[Income]]&lt;80000,"60K-79K", IF(bike_buyers[[#This Row],[Income]]&lt;100000,"80K-99K","100K+"))))</f>
        <v>40K-59K</v>
      </c>
      <c r="F835">
        <v>2</v>
      </c>
      <c r="G835" s="1" t="s">
        <v>18</v>
      </c>
      <c r="H835" s="1" t="s">
        <v>19</v>
      </c>
      <c r="I835" s="1" t="s">
        <v>17</v>
      </c>
      <c r="J835">
        <v>1</v>
      </c>
      <c r="K835" s="1" t="s">
        <v>25</v>
      </c>
      <c r="L835" s="1" t="s">
        <v>30</v>
      </c>
      <c r="M835">
        <v>47</v>
      </c>
      <c r="N835" s="1" t="str" cm="1">
        <f t="array" ref="N835">_xlfn.IFS(M835&lt;40, " Adult", M835&lt;60, "Middle Age", M835&gt;=60, "Older Adult")</f>
        <v>Middle Age</v>
      </c>
      <c r="O835" s="1" t="s">
        <v>14</v>
      </c>
      <c r="P835" s="1">
        <f>IF(O835="Yes", 1)</f>
        <v>1</v>
      </c>
      <c r="Q835" s="1"/>
    </row>
    <row r="836" spans="1:17" x14ac:dyDescent="0.25">
      <c r="A836">
        <v>17657</v>
      </c>
      <c r="B836" s="1" t="s">
        <v>31</v>
      </c>
      <c r="C836" s="1" t="s">
        <v>32</v>
      </c>
      <c r="D836" s="2">
        <v>40000</v>
      </c>
      <c r="E836" s="2" t="str">
        <f>IF(bike_buyers[[#This Row],[Income]]&lt;40000,"Under 40K", IF(bike_buyers[[#This Row],[Income]]&lt;60000,"40K-59K", IF(bike_buyers[[#This Row],[Income]]&lt;80000,"60K-79K", IF(bike_buyers[[#This Row],[Income]]&lt;100000,"80K-99K","100K+"))))</f>
        <v>40K-59K</v>
      </c>
      <c r="F836">
        <v>4</v>
      </c>
      <c r="G836" s="1" t="s">
        <v>18</v>
      </c>
      <c r="H836" s="1" t="s">
        <v>19</v>
      </c>
      <c r="I836" s="1" t="s">
        <v>17</v>
      </c>
      <c r="J836">
        <v>0</v>
      </c>
      <c r="K836" s="1" t="s">
        <v>15</v>
      </c>
      <c r="L836" s="1" t="s">
        <v>30</v>
      </c>
      <c r="M836">
        <v>30</v>
      </c>
      <c r="N836" s="1" t="str" cm="1">
        <f t="array" ref="N836">_xlfn.IFS(M836&lt;40, " Adult", M836&lt;60, "Middle Age", M836&gt;=60, "Older Adult")</f>
        <v xml:space="preserve"> Adult</v>
      </c>
      <c r="O836" s="1" t="s">
        <v>17</v>
      </c>
      <c r="P836" s="1" t="b">
        <f>IF(O836="Yes", 1)</f>
        <v>0</v>
      </c>
      <c r="Q836" s="1"/>
    </row>
    <row r="837" spans="1:17" x14ac:dyDescent="0.25">
      <c r="A837">
        <v>14913</v>
      </c>
      <c r="B837" s="1" t="s">
        <v>31</v>
      </c>
      <c r="C837" s="1" t="s">
        <v>33</v>
      </c>
      <c r="D837" s="2">
        <v>40000</v>
      </c>
      <c r="E837" s="2" t="str">
        <f>IF(bike_buyers[[#This Row],[Income]]&lt;40000,"Under 40K", IF(bike_buyers[[#This Row],[Income]]&lt;60000,"40K-59K", IF(bike_buyers[[#This Row],[Income]]&lt;80000,"60K-79K", IF(bike_buyers[[#This Row],[Income]]&lt;100000,"80K-99K","100K+"))))</f>
        <v>40K-59K</v>
      </c>
      <c r="F837">
        <v>1</v>
      </c>
      <c r="G837" s="1" t="s">
        <v>18</v>
      </c>
      <c r="H837" s="1" t="s">
        <v>19</v>
      </c>
      <c r="I837" s="1" t="s">
        <v>14</v>
      </c>
      <c r="J837">
        <v>1</v>
      </c>
      <c r="K837" s="1" t="s">
        <v>25</v>
      </c>
      <c r="L837" s="1" t="s">
        <v>30</v>
      </c>
      <c r="M837">
        <v>48</v>
      </c>
      <c r="N837" s="1" t="str" cm="1">
        <f t="array" ref="N837">_xlfn.IFS(M837&lt;40, " Adult", M837&lt;60, "Middle Age", M837&gt;=60, "Older Adult")</f>
        <v>Middle Age</v>
      </c>
      <c r="O837" s="1" t="s">
        <v>14</v>
      </c>
      <c r="P837" s="1">
        <f>IF(O837="Yes", 1)</f>
        <v>1</v>
      </c>
      <c r="Q837" s="1"/>
    </row>
    <row r="838" spans="1:17" x14ac:dyDescent="0.25">
      <c r="A838">
        <v>28087</v>
      </c>
      <c r="B838" s="1" t="s">
        <v>34</v>
      </c>
      <c r="C838" s="1" t="s">
        <v>33</v>
      </c>
      <c r="D838" s="2">
        <v>40000</v>
      </c>
      <c r="E838" s="2" t="str">
        <f>IF(bike_buyers[[#This Row],[Income]]&lt;40000,"Under 40K", IF(bike_buyers[[#This Row],[Income]]&lt;60000,"40K-59K", IF(bike_buyers[[#This Row],[Income]]&lt;80000,"60K-79K", IF(bike_buyers[[#This Row],[Income]]&lt;100000,"80K-99K","100K+"))))</f>
        <v>40K-59K</v>
      </c>
      <c r="F838">
        <v>0</v>
      </c>
      <c r="G838" s="1" t="s">
        <v>18</v>
      </c>
      <c r="H838" s="1" t="s">
        <v>13</v>
      </c>
      <c r="I838" s="1" t="s">
        <v>17</v>
      </c>
      <c r="J838">
        <v>1</v>
      </c>
      <c r="K838" s="1" t="s">
        <v>25</v>
      </c>
      <c r="L838" s="1" t="s">
        <v>30</v>
      </c>
      <c r="M838">
        <v>27</v>
      </c>
      <c r="N838" s="1" t="str" cm="1">
        <f t="array" ref="N838">_xlfn.IFS(M838&lt;40, " Adult", M838&lt;60, "Middle Age", M838&gt;=60, "Older Adult")</f>
        <v xml:space="preserve"> Adult</v>
      </c>
      <c r="O838" s="1" t="s">
        <v>17</v>
      </c>
      <c r="P838" s="1" t="b">
        <f>IF(O838="Yes", 1)</f>
        <v>0</v>
      </c>
      <c r="Q838" s="1"/>
    </row>
    <row r="839" spans="1:17" x14ac:dyDescent="0.25">
      <c r="A839">
        <v>23668</v>
      </c>
      <c r="B839" s="1" t="s">
        <v>31</v>
      </c>
      <c r="C839" s="1" t="s">
        <v>33</v>
      </c>
      <c r="D839" s="2">
        <v>40000</v>
      </c>
      <c r="E839" s="2" t="str">
        <f>IF(bike_buyers[[#This Row],[Income]]&lt;40000,"Under 40K", IF(bike_buyers[[#This Row],[Income]]&lt;60000,"40K-59K", IF(bike_buyers[[#This Row],[Income]]&lt;80000,"60K-79K", IF(bike_buyers[[#This Row],[Income]]&lt;100000,"80K-99K","100K+"))))</f>
        <v>40K-59K</v>
      </c>
      <c r="F839">
        <v>4</v>
      </c>
      <c r="G839" s="1" t="s">
        <v>26</v>
      </c>
      <c r="H839" s="1" t="s">
        <v>20</v>
      </c>
      <c r="I839" s="1" t="s">
        <v>14</v>
      </c>
      <c r="J839">
        <v>2</v>
      </c>
      <c r="K839" s="1" t="s">
        <v>22</v>
      </c>
      <c r="L839" s="1" t="s">
        <v>30</v>
      </c>
      <c r="M839">
        <v>59</v>
      </c>
      <c r="N839" s="1" t="str" cm="1">
        <f t="array" ref="N839">_xlfn.IFS(M839&lt;40, " Adult", M839&lt;60, "Middle Age", M839&gt;=60, "Older Adult")</f>
        <v>Middle Age</v>
      </c>
      <c r="O839" s="1" t="s">
        <v>14</v>
      </c>
      <c r="P839" s="1">
        <f>IF(O839="Yes", 1)</f>
        <v>1</v>
      </c>
      <c r="Q839" s="1"/>
    </row>
    <row r="840" spans="1:17" x14ac:dyDescent="0.25">
      <c r="A840">
        <v>27261</v>
      </c>
      <c r="B840" s="1" t="s">
        <v>31</v>
      </c>
      <c r="C840" s="1" t="s">
        <v>32</v>
      </c>
      <c r="D840" s="2">
        <v>40000</v>
      </c>
      <c r="E840" s="2" t="str">
        <f>IF(bike_buyers[[#This Row],[Income]]&lt;40000,"Under 40K", IF(bike_buyers[[#This Row],[Income]]&lt;60000,"40K-59K", IF(bike_buyers[[#This Row],[Income]]&lt;80000,"60K-79K", IF(bike_buyers[[#This Row],[Income]]&lt;100000,"80K-99K","100K+"))))</f>
        <v>40K-59K</v>
      </c>
      <c r="F840">
        <v>1</v>
      </c>
      <c r="G840" s="1" t="s">
        <v>12</v>
      </c>
      <c r="H840" s="1" t="s">
        <v>13</v>
      </c>
      <c r="I840" s="1" t="s">
        <v>17</v>
      </c>
      <c r="J840">
        <v>1</v>
      </c>
      <c r="K840" s="1" t="s">
        <v>15</v>
      </c>
      <c r="L840" s="1" t="s">
        <v>30</v>
      </c>
      <c r="M840">
        <v>36</v>
      </c>
      <c r="N840" s="1" t="str" cm="1">
        <f t="array" ref="N840">_xlfn.IFS(M840&lt;40, " Adult", M840&lt;60, "Middle Age", M840&gt;=60, "Older Adult")</f>
        <v xml:space="preserve"> Adult</v>
      </c>
      <c r="O840" s="1" t="s">
        <v>14</v>
      </c>
      <c r="P840" s="1">
        <f>IF(O840="Yes", 1)</f>
        <v>1</v>
      </c>
      <c r="Q840" s="1"/>
    </row>
    <row r="841" spans="1:17" x14ac:dyDescent="0.25">
      <c r="A841">
        <v>20657</v>
      </c>
      <c r="B841" s="1" t="s">
        <v>34</v>
      </c>
      <c r="C841" s="1" t="s">
        <v>32</v>
      </c>
      <c r="D841" s="2">
        <v>50000</v>
      </c>
      <c r="E841" s="2" t="str">
        <f>IF(bike_buyers[[#This Row],[Income]]&lt;40000,"Under 40K", IF(bike_buyers[[#This Row],[Income]]&lt;60000,"40K-59K", IF(bike_buyers[[#This Row],[Income]]&lt;80000,"60K-79K", IF(bike_buyers[[#This Row],[Income]]&lt;100000,"80K-99K","100K+"))))</f>
        <v>40K-59K</v>
      </c>
      <c r="F841">
        <v>2</v>
      </c>
      <c r="G841" s="1" t="s">
        <v>12</v>
      </c>
      <c r="H841" s="1" t="s">
        <v>13</v>
      </c>
      <c r="I841" s="1" t="s">
        <v>14</v>
      </c>
      <c r="J841">
        <v>0</v>
      </c>
      <c r="K841" s="1" t="s">
        <v>21</v>
      </c>
      <c r="L841" s="1" t="s">
        <v>30</v>
      </c>
      <c r="M841">
        <v>37</v>
      </c>
      <c r="N841" s="1" t="str" cm="1">
        <f t="array" ref="N841">_xlfn.IFS(M841&lt;40, " Adult", M841&lt;60, "Middle Age", M841&gt;=60, "Older Adult")</f>
        <v xml:space="preserve"> Adult</v>
      </c>
      <c r="O841" s="1" t="s">
        <v>14</v>
      </c>
      <c r="P841" s="1">
        <f>IF(O841="Yes", 1)</f>
        <v>1</v>
      </c>
      <c r="Q841" s="1"/>
    </row>
    <row r="842" spans="1:17" x14ac:dyDescent="0.25">
      <c r="A842">
        <v>12882</v>
      </c>
      <c r="B842" s="1" t="s">
        <v>31</v>
      </c>
      <c r="C842" s="1" t="s">
        <v>32</v>
      </c>
      <c r="D842" s="2">
        <v>50000</v>
      </c>
      <c r="E842" s="2" t="str">
        <f>IF(bike_buyers[[#This Row],[Income]]&lt;40000,"Under 40K", IF(bike_buyers[[#This Row],[Income]]&lt;60000,"40K-59K", IF(bike_buyers[[#This Row],[Income]]&lt;80000,"60K-79K", IF(bike_buyers[[#This Row],[Income]]&lt;100000,"80K-99K","100K+"))))</f>
        <v>40K-59K</v>
      </c>
      <c r="F842">
        <v>1</v>
      </c>
      <c r="G842" s="1" t="s">
        <v>29</v>
      </c>
      <c r="H842" s="1" t="s">
        <v>13</v>
      </c>
      <c r="I842" s="1" t="s">
        <v>14</v>
      </c>
      <c r="J842">
        <v>0</v>
      </c>
      <c r="K842" s="1" t="s">
        <v>15</v>
      </c>
      <c r="L842" s="1" t="s">
        <v>30</v>
      </c>
      <c r="M842">
        <v>33</v>
      </c>
      <c r="N842" s="1" t="str" cm="1">
        <f t="array" ref="N842">_xlfn.IFS(M842&lt;40, " Adult", M842&lt;60, "Middle Age", M842&gt;=60, "Older Adult")</f>
        <v xml:space="preserve"> Adult</v>
      </c>
      <c r="O842" s="1" t="s">
        <v>14</v>
      </c>
      <c r="P842" s="1">
        <f>IF(O842="Yes", 1)</f>
        <v>1</v>
      </c>
      <c r="Q842" s="1"/>
    </row>
    <row r="843" spans="1:17" x14ac:dyDescent="0.25">
      <c r="A843">
        <v>14608</v>
      </c>
      <c r="B843" s="1" t="s">
        <v>31</v>
      </c>
      <c r="C843" s="1" t="s">
        <v>32</v>
      </c>
      <c r="D843" s="2">
        <v>50000</v>
      </c>
      <c r="E843" s="2" t="str">
        <f>IF(bike_buyers[[#This Row],[Income]]&lt;40000,"Under 40K", IF(bike_buyers[[#This Row],[Income]]&lt;60000,"40K-59K", IF(bike_buyers[[#This Row],[Income]]&lt;80000,"60K-79K", IF(bike_buyers[[#This Row],[Income]]&lt;100000,"80K-99K","100K+"))))</f>
        <v>40K-59K</v>
      </c>
      <c r="F843">
        <v>4</v>
      </c>
      <c r="G843" s="1" t="s">
        <v>12</v>
      </c>
      <c r="H843" s="1" t="s">
        <v>13</v>
      </c>
      <c r="I843" s="1" t="s">
        <v>14</v>
      </c>
      <c r="J843">
        <v>3</v>
      </c>
      <c r="K843" s="1" t="s">
        <v>62</v>
      </c>
      <c r="L843" s="1" t="s">
        <v>30</v>
      </c>
      <c r="M843">
        <v>42</v>
      </c>
      <c r="N843" s="1" t="str" cm="1">
        <f t="array" ref="N843">_xlfn.IFS(M843&lt;40, " Adult", M843&lt;60, "Middle Age", M843&gt;=60, "Older Adult")</f>
        <v>Middle Age</v>
      </c>
      <c r="O843" s="1" t="s">
        <v>17</v>
      </c>
      <c r="P843" s="1" t="b">
        <f>IF(O843="Yes", 1)</f>
        <v>0</v>
      </c>
      <c r="Q843" s="1"/>
    </row>
    <row r="844" spans="1:17" x14ac:dyDescent="0.25">
      <c r="A844">
        <v>13151</v>
      </c>
      <c r="B844" s="1" t="s">
        <v>34</v>
      </c>
      <c r="C844" s="1" t="s">
        <v>32</v>
      </c>
      <c r="D844" s="2">
        <v>40000</v>
      </c>
      <c r="E844" s="2" t="str">
        <f>IF(bike_buyers[[#This Row],[Income]]&lt;40000,"Under 40K", IF(bike_buyers[[#This Row],[Income]]&lt;60000,"40K-59K", IF(bike_buyers[[#This Row],[Income]]&lt;80000,"60K-79K", IF(bike_buyers[[#This Row],[Income]]&lt;100000,"80K-99K","100K+"))))</f>
        <v>40K-59K</v>
      </c>
      <c r="F844">
        <v>0</v>
      </c>
      <c r="G844" s="1" t="s">
        <v>26</v>
      </c>
      <c r="H844" s="1" t="s">
        <v>13</v>
      </c>
      <c r="I844" s="1" t="s">
        <v>14</v>
      </c>
      <c r="J844">
        <v>2</v>
      </c>
      <c r="K844" s="1" t="s">
        <v>22</v>
      </c>
      <c r="L844" s="1" t="s">
        <v>30</v>
      </c>
      <c r="M844">
        <v>27</v>
      </c>
      <c r="N844" s="1" t="str" cm="1">
        <f t="array" ref="N844">_xlfn.IFS(M844&lt;40, " Adult", M844&lt;60, "Middle Age", M844&gt;=60, "Older Adult")</f>
        <v xml:space="preserve"> Adult</v>
      </c>
      <c r="O844" s="1" t="s">
        <v>17</v>
      </c>
      <c r="P844" s="1" t="b">
        <f>IF(O844="Yes", 1)</f>
        <v>0</v>
      </c>
      <c r="Q844" s="1"/>
    </row>
    <row r="845" spans="1:17" x14ac:dyDescent="0.25">
      <c r="A845">
        <v>24496</v>
      </c>
      <c r="B845" s="1" t="s">
        <v>34</v>
      </c>
      <c r="C845" s="1" t="s">
        <v>33</v>
      </c>
      <c r="D845" s="2">
        <v>40000</v>
      </c>
      <c r="E845" s="2" t="str">
        <f>IF(bike_buyers[[#This Row],[Income]]&lt;40000,"Under 40K", IF(bike_buyers[[#This Row],[Income]]&lt;60000,"40K-59K", IF(bike_buyers[[#This Row],[Income]]&lt;80000,"60K-79K", IF(bike_buyers[[#This Row],[Income]]&lt;100000,"80K-99K","100K+"))))</f>
        <v>40K-59K</v>
      </c>
      <c r="F845">
        <v>0</v>
      </c>
      <c r="G845" s="1" t="s">
        <v>26</v>
      </c>
      <c r="H845" s="1" t="s">
        <v>13</v>
      </c>
      <c r="I845" s="1" t="s">
        <v>17</v>
      </c>
      <c r="J845">
        <v>2</v>
      </c>
      <c r="K845" s="1" t="s">
        <v>15</v>
      </c>
      <c r="L845" s="1" t="s">
        <v>30</v>
      </c>
      <c r="M845">
        <v>28</v>
      </c>
      <c r="N845" s="1" t="str" cm="1">
        <f t="array" ref="N845">_xlfn.IFS(M845&lt;40, " Adult", M845&lt;60, "Middle Age", M845&gt;=60, "Older Adult")</f>
        <v xml:space="preserve"> Adult</v>
      </c>
      <c r="O845" s="1" t="s">
        <v>14</v>
      </c>
      <c r="P845" s="1">
        <f>IF(O845="Yes", 1)</f>
        <v>1</v>
      </c>
      <c r="Q845" s="1"/>
    </row>
    <row r="846" spans="1:17" x14ac:dyDescent="0.25">
      <c r="A846">
        <v>15468</v>
      </c>
      <c r="B846" s="1" t="s">
        <v>31</v>
      </c>
      <c r="C846" s="1" t="s">
        <v>33</v>
      </c>
      <c r="D846" s="2">
        <v>50000</v>
      </c>
      <c r="E846" s="2" t="str">
        <f>IF(bike_buyers[[#This Row],[Income]]&lt;40000,"Under 40K", IF(bike_buyers[[#This Row],[Income]]&lt;60000,"40K-59K", IF(bike_buyers[[#This Row],[Income]]&lt;80000,"60K-79K", IF(bike_buyers[[#This Row],[Income]]&lt;100000,"80K-99K","100K+"))))</f>
        <v>40K-59K</v>
      </c>
      <c r="F846">
        <v>1</v>
      </c>
      <c r="G846" s="1" t="s">
        <v>12</v>
      </c>
      <c r="H846" s="1" t="s">
        <v>13</v>
      </c>
      <c r="I846" s="1" t="s">
        <v>14</v>
      </c>
      <c r="J846">
        <v>1</v>
      </c>
      <c r="K846" s="1" t="s">
        <v>15</v>
      </c>
      <c r="L846" s="1" t="s">
        <v>30</v>
      </c>
      <c r="M846">
        <v>35</v>
      </c>
      <c r="N846" s="1" t="str" cm="1">
        <f t="array" ref="N846">_xlfn.IFS(M846&lt;40, " Adult", M846&lt;60, "Middle Age", M846&gt;=60, "Older Adult")</f>
        <v xml:space="preserve"> Adult</v>
      </c>
      <c r="O846" s="1" t="s">
        <v>17</v>
      </c>
      <c r="P846" s="1" t="b">
        <f>IF(O846="Yes", 1)</f>
        <v>0</v>
      </c>
      <c r="Q846" s="1"/>
    </row>
    <row r="847" spans="1:17" x14ac:dyDescent="0.25">
      <c r="A847">
        <v>18363</v>
      </c>
      <c r="B847" s="1" t="s">
        <v>31</v>
      </c>
      <c r="C847" s="1" t="s">
        <v>32</v>
      </c>
      <c r="D847" s="2">
        <v>40000</v>
      </c>
      <c r="E847" s="2" t="str">
        <f>IF(bike_buyers[[#This Row],[Income]]&lt;40000,"Under 40K", IF(bike_buyers[[#This Row],[Income]]&lt;60000,"40K-59K", IF(bike_buyers[[#This Row],[Income]]&lt;80000,"60K-79K", IF(bike_buyers[[#This Row],[Income]]&lt;100000,"80K-99K","100K+"))))</f>
        <v>40K-59K</v>
      </c>
      <c r="F847">
        <v>0</v>
      </c>
      <c r="G847" s="1" t="s">
        <v>26</v>
      </c>
      <c r="H847" s="1" t="s">
        <v>13</v>
      </c>
      <c r="I847" s="1" t="s">
        <v>14</v>
      </c>
      <c r="J847">
        <v>2</v>
      </c>
      <c r="K847" s="1" t="s">
        <v>22</v>
      </c>
      <c r="L847" s="1" t="s">
        <v>30</v>
      </c>
      <c r="M847">
        <v>28</v>
      </c>
      <c r="N847" s="1" t="str" cm="1">
        <f t="array" ref="N847">_xlfn.IFS(M847&lt;40, " Adult", M847&lt;60, "Middle Age", M847&gt;=60, "Older Adult")</f>
        <v xml:space="preserve"> Adult</v>
      </c>
      <c r="O847" s="1" t="s">
        <v>14</v>
      </c>
      <c r="P847" s="1">
        <f>IF(O847="Yes", 1)</f>
        <v>1</v>
      </c>
      <c r="Q847" s="1"/>
    </row>
    <row r="848" spans="1:17" x14ac:dyDescent="0.25">
      <c r="A848">
        <v>20361</v>
      </c>
      <c r="B848" s="1" t="s">
        <v>31</v>
      </c>
      <c r="C848" s="1" t="s">
        <v>32</v>
      </c>
      <c r="D848" s="2">
        <v>50000</v>
      </c>
      <c r="E848" s="2" t="str">
        <f>IF(bike_buyers[[#This Row],[Income]]&lt;40000,"Under 40K", IF(bike_buyers[[#This Row],[Income]]&lt;60000,"40K-59K", IF(bike_buyers[[#This Row],[Income]]&lt;80000,"60K-79K", IF(bike_buyers[[#This Row],[Income]]&lt;100000,"80K-99K","100K+"))))</f>
        <v>40K-59K</v>
      </c>
      <c r="F848">
        <v>2</v>
      </c>
      <c r="G848" s="1" t="s">
        <v>29</v>
      </c>
      <c r="H848" s="1" t="s">
        <v>27</v>
      </c>
      <c r="I848" s="1" t="s">
        <v>14</v>
      </c>
      <c r="J848">
        <v>2</v>
      </c>
      <c r="K848" s="1" t="s">
        <v>22</v>
      </c>
      <c r="L848" s="1" t="s">
        <v>30</v>
      </c>
      <c r="M848">
        <v>69</v>
      </c>
      <c r="N848" s="1" t="str" cm="1">
        <f t="array" ref="N848">_xlfn.IFS(M848&lt;40, " Adult", M848&lt;60, "Middle Age", M848&gt;=60, "Older Adult")</f>
        <v>Older Adult</v>
      </c>
      <c r="O848" s="1" t="s">
        <v>17</v>
      </c>
      <c r="P848" s="1" t="b">
        <f>IF(O848="Yes", 1)</f>
        <v>0</v>
      </c>
      <c r="Q848" s="1"/>
    </row>
    <row r="849" spans="1:17" x14ac:dyDescent="0.25">
      <c r="A849">
        <v>15287</v>
      </c>
      <c r="B849" s="1" t="s">
        <v>34</v>
      </c>
      <c r="C849" s="1" t="s">
        <v>33</v>
      </c>
      <c r="D849" s="2">
        <v>50000</v>
      </c>
      <c r="E849" s="2" t="str">
        <f>IF(bike_buyers[[#This Row],[Income]]&lt;40000,"Under 40K", IF(bike_buyers[[#This Row],[Income]]&lt;60000,"40K-59K", IF(bike_buyers[[#This Row],[Income]]&lt;80000,"60K-79K", IF(bike_buyers[[#This Row],[Income]]&lt;100000,"80K-99K","100K+"))))</f>
        <v>40K-59K</v>
      </c>
      <c r="F849">
        <v>1</v>
      </c>
      <c r="G849" s="1" t="s">
        <v>29</v>
      </c>
      <c r="H849" s="1" t="s">
        <v>13</v>
      </c>
      <c r="I849" s="1" t="s">
        <v>14</v>
      </c>
      <c r="J849">
        <v>0</v>
      </c>
      <c r="K849" s="1" t="s">
        <v>25</v>
      </c>
      <c r="L849" s="1" t="s">
        <v>30</v>
      </c>
      <c r="M849">
        <v>33</v>
      </c>
      <c r="N849" s="1" t="str" cm="1">
        <f t="array" ref="N849">_xlfn.IFS(M849&lt;40, " Adult", M849&lt;60, "Middle Age", M849&gt;=60, "Older Adult")</f>
        <v xml:space="preserve"> Adult</v>
      </c>
      <c r="O849" s="1" t="s">
        <v>14</v>
      </c>
      <c r="P849" s="1">
        <f>IF(O849="Yes", 1)</f>
        <v>1</v>
      </c>
      <c r="Q849" s="1"/>
    </row>
    <row r="850" spans="1:17" x14ac:dyDescent="0.25">
      <c r="A850">
        <v>28090</v>
      </c>
      <c r="B850" s="1" t="s">
        <v>31</v>
      </c>
      <c r="C850" s="1" t="s">
        <v>32</v>
      </c>
      <c r="D850" s="2">
        <v>40000</v>
      </c>
      <c r="E850" s="2" t="str">
        <f>IF(bike_buyers[[#This Row],[Income]]&lt;40000,"Under 40K", IF(bike_buyers[[#This Row],[Income]]&lt;60000,"40K-59K", IF(bike_buyers[[#This Row],[Income]]&lt;80000,"60K-79K", IF(bike_buyers[[#This Row],[Income]]&lt;100000,"80K-99K","100K+"))))</f>
        <v>40K-59K</v>
      </c>
      <c r="F850">
        <v>0</v>
      </c>
      <c r="G850" s="1" t="s">
        <v>18</v>
      </c>
      <c r="H850" s="1" t="s">
        <v>13</v>
      </c>
      <c r="I850" s="1" t="s">
        <v>14</v>
      </c>
      <c r="J850">
        <v>1</v>
      </c>
      <c r="K850" s="1" t="s">
        <v>22</v>
      </c>
      <c r="L850" s="1" t="s">
        <v>30</v>
      </c>
      <c r="M850">
        <v>27</v>
      </c>
      <c r="N850" s="1" t="str" cm="1">
        <f t="array" ref="N850">_xlfn.IFS(M850&lt;40, " Adult", M850&lt;60, "Middle Age", M850&gt;=60, "Older Adult")</f>
        <v xml:space="preserve"> Adult</v>
      </c>
      <c r="O850" s="1" t="s">
        <v>17</v>
      </c>
      <c r="P850" s="1" t="b">
        <f>IF(O850="Yes", 1)</f>
        <v>0</v>
      </c>
      <c r="Q850" s="1"/>
    </row>
    <row r="851" spans="1:17" x14ac:dyDescent="0.25">
      <c r="A851">
        <v>15255</v>
      </c>
      <c r="B851" s="1" t="s">
        <v>31</v>
      </c>
      <c r="C851" s="1" t="s">
        <v>32</v>
      </c>
      <c r="D851" s="2">
        <v>40000</v>
      </c>
      <c r="E851" s="2" t="str">
        <f>IF(bike_buyers[[#This Row],[Income]]&lt;40000,"Under 40K", IF(bike_buyers[[#This Row],[Income]]&lt;60000,"40K-59K", IF(bike_buyers[[#This Row],[Income]]&lt;80000,"60K-79K", IF(bike_buyers[[#This Row],[Income]]&lt;100000,"80K-99K","100K+"))))</f>
        <v>40K-59K</v>
      </c>
      <c r="F851">
        <v>0</v>
      </c>
      <c r="G851" s="1" t="s">
        <v>26</v>
      </c>
      <c r="H851" s="1" t="s">
        <v>13</v>
      </c>
      <c r="I851" s="1" t="s">
        <v>14</v>
      </c>
      <c r="J851">
        <v>2</v>
      </c>
      <c r="K851" s="1" t="s">
        <v>22</v>
      </c>
      <c r="L851" s="1" t="s">
        <v>30</v>
      </c>
      <c r="M851">
        <v>28</v>
      </c>
      <c r="N851" s="1" t="str" cm="1">
        <f t="array" ref="N851">_xlfn.IFS(M851&lt;40, " Adult", M851&lt;60, "Middle Age", M851&gt;=60, "Older Adult")</f>
        <v xml:space="preserve"> Adult</v>
      </c>
      <c r="O851" s="1" t="s">
        <v>14</v>
      </c>
      <c r="P851" s="1">
        <f>IF(O851="Yes", 1)</f>
        <v>1</v>
      </c>
      <c r="Q851" s="1"/>
    </row>
    <row r="852" spans="1:17" x14ac:dyDescent="0.25">
      <c r="A852">
        <v>13154</v>
      </c>
      <c r="B852" s="1" t="s">
        <v>31</v>
      </c>
      <c r="C852" s="1" t="s">
        <v>32</v>
      </c>
      <c r="D852" s="2">
        <v>40000</v>
      </c>
      <c r="E852" s="2" t="str">
        <f>IF(bike_buyers[[#This Row],[Income]]&lt;40000,"Under 40K", IF(bike_buyers[[#This Row],[Income]]&lt;60000,"40K-59K", IF(bike_buyers[[#This Row],[Income]]&lt;80000,"60K-79K", IF(bike_buyers[[#This Row],[Income]]&lt;100000,"80K-99K","100K+"))))</f>
        <v>40K-59K</v>
      </c>
      <c r="F852">
        <v>0</v>
      </c>
      <c r="G852" s="1" t="s">
        <v>26</v>
      </c>
      <c r="H852" s="1" t="s">
        <v>13</v>
      </c>
      <c r="I852" s="1" t="s">
        <v>17</v>
      </c>
      <c r="J852">
        <v>2</v>
      </c>
      <c r="K852" s="1" t="s">
        <v>15</v>
      </c>
      <c r="L852" s="1" t="s">
        <v>30</v>
      </c>
      <c r="M852">
        <v>27</v>
      </c>
      <c r="N852" s="1" t="str" cm="1">
        <f t="array" ref="N852">_xlfn.IFS(M852&lt;40, " Adult", M852&lt;60, "Middle Age", M852&gt;=60, "Older Adult")</f>
        <v xml:space="preserve"> Adult</v>
      </c>
      <c r="O852" s="1" t="s">
        <v>14</v>
      </c>
      <c r="P852" s="1">
        <f>IF(O852="Yes", 1)</f>
        <v>1</v>
      </c>
      <c r="Q852" s="1"/>
    </row>
    <row r="853" spans="1:17" x14ac:dyDescent="0.25">
      <c r="A853">
        <v>26778</v>
      </c>
      <c r="B853" s="1" t="s">
        <v>34</v>
      </c>
      <c r="C853" s="1" t="s">
        <v>33</v>
      </c>
      <c r="D853" s="2">
        <v>40000</v>
      </c>
      <c r="E853" s="2" t="str">
        <f>IF(bike_buyers[[#This Row],[Income]]&lt;40000,"Under 40K", IF(bike_buyers[[#This Row],[Income]]&lt;60000,"40K-59K", IF(bike_buyers[[#This Row],[Income]]&lt;80000,"60K-79K", IF(bike_buyers[[#This Row],[Income]]&lt;100000,"80K-99K","100K+"))))</f>
        <v>40K-59K</v>
      </c>
      <c r="F853">
        <v>0</v>
      </c>
      <c r="G853" s="1" t="s">
        <v>26</v>
      </c>
      <c r="H853" s="1" t="s">
        <v>13</v>
      </c>
      <c r="I853" s="1" t="s">
        <v>14</v>
      </c>
      <c r="J853">
        <v>2</v>
      </c>
      <c r="K853" s="1" t="s">
        <v>22</v>
      </c>
      <c r="L853" s="1" t="s">
        <v>30</v>
      </c>
      <c r="M853">
        <v>31</v>
      </c>
      <c r="N853" s="1" t="str" cm="1">
        <f t="array" ref="N853">_xlfn.IFS(M853&lt;40, " Adult", M853&lt;60, "Middle Age", M853&gt;=60, "Older Adult")</f>
        <v xml:space="preserve"> Adult</v>
      </c>
      <c r="O853" s="1" t="s">
        <v>17</v>
      </c>
      <c r="P853" s="1" t="b">
        <f>IF(O853="Yes", 1)</f>
        <v>0</v>
      </c>
      <c r="Q853" s="1"/>
    </row>
    <row r="854" spans="1:17" x14ac:dyDescent="0.25">
      <c r="A854">
        <v>27994</v>
      </c>
      <c r="B854" s="1" t="s">
        <v>31</v>
      </c>
      <c r="C854" s="1" t="s">
        <v>33</v>
      </c>
      <c r="D854" s="2">
        <v>40000</v>
      </c>
      <c r="E854" s="2" t="str">
        <f>IF(bike_buyers[[#This Row],[Income]]&lt;40000,"Under 40K", IF(bike_buyers[[#This Row],[Income]]&lt;60000,"40K-59K", IF(bike_buyers[[#This Row],[Income]]&lt;80000,"60K-79K", IF(bike_buyers[[#This Row],[Income]]&lt;100000,"80K-99K","100K+"))))</f>
        <v>40K-59K</v>
      </c>
      <c r="F854">
        <v>4</v>
      </c>
      <c r="G854" s="1" t="s">
        <v>26</v>
      </c>
      <c r="H854" s="1" t="s">
        <v>20</v>
      </c>
      <c r="I854" s="1" t="s">
        <v>14</v>
      </c>
      <c r="J854">
        <v>2</v>
      </c>
      <c r="K854" s="1" t="s">
        <v>22</v>
      </c>
      <c r="L854" s="1" t="s">
        <v>30</v>
      </c>
      <c r="M854">
        <v>69</v>
      </c>
      <c r="N854" s="1" t="str" cm="1">
        <f t="array" ref="N854">_xlfn.IFS(M854&lt;40, " Adult", M854&lt;60, "Middle Age", M854&gt;=60, "Older Adult")</f>
        <v>Older Adult</v>
      </c>
      <c r="O854" s="1" t="s">
        <v>17</v>
      </c>
      <c r="P854" s="1" t="b">
        <f>IF(O854="Yes", 1)</f>
        <v>0</v>
      </c>
      <c r="Q854" s="1"/>
    </row>
    <row r="855" spans="1:17" x14ac:dyDescent="0.25">
      <c r="A855">
        <v>23333</v>
      </c>
      <c r="B855" s="1" t="s">
        <v>31</v>
      </c>
      <c r="C855" s="1" t="s">
        <v>32</v>
      </c>
      <c r="D855" s="2">
        <v>40000</v>
      </c>
      <c r="E855" s="2" t="str">
        <f>IF(bike_buyers[[#This Row],[Income]]&lt;40000,"Under 40K", IF(bike_buyers[[#This Row],[Income]]&lt;60000,"40K-59K", IF(bike_buyers[[#This Row],[Income]]&lt;80000,"60K-79K", IF(bike_buyers[[#This Row],[Income]]&lt;100000,"80K-99K","100K+"))))</f>
        <v>40K-59K</v>
      </c>
      <c r="F855">
        <v>0</v>
      </c>
      <c r="G855" s="1" t="s">
        <v>18</v>
      </c>
      <c r="H855" s="1" t="s">
        <v>13</v>
      </c>
      <c r="I855" s="1" t="s">
        <v>17</v>
      </c>
      <c r="J855">
        <v>2</v>
      </c>
      <c r="K855" s="1" t="s">
        <v>25</v>
      </c>
      <c r="L855" s="1" t="s">
        <v>30</v>
      </c>
      <c r="M855">
        <v>30</v>
      </c>
      <c r="N855" s="1" t="str" cm="1">
        <f t="array" ref="N855">_xlfn.IFS(M855&lt;40, " Adult", M855&lt;60, "Middle Age", M855&gt;=60, "Older Adult")</f>
        <v xml:space="preserve"> Adult</v>
      </c>
      <c r="O855" s="1" t="s">
        <v>17</v>
      </c>
      <c r="P855" s="1" t="b">
        <f>IF(O855="Yes", 1)</f>
        <v>0</v>
      </c>
      <c r="Q855" s="1"/>
    </row>
    <row r="856" spans="1:17" x14ac:dyDescent="0.25">
      <c r="A856">
        <v>24514</v>
      </c>
      <c r="B856" s="1" t="s">
        <v>31</v>
      </c>
      <c r="C856" s="1" t="s">
        <v>32</v>
      </c>
      <c r="D856" s="2">
        <v>40000</v>
      </c>
      <c r="E856" s="2" t="str">
        <f>IF(bike_buyers[[#This Row],[Income]]&lt;40000,"Under 40K", IF(bike_buyers[[#This Row],[Income]]&lt;60000,"40K-59K", IF(bike_buyers[[#This Row],[Income]]&lt;80000,"60K-79K", IF(bike_buyers[[#This Row],[Income]]&lt;100000,"80K-99K","100K+"))))</f>
        <v>40K-59K</v>
      </c>
      <c r="F856">
        <v>0</v>
      </c>
      <c r="G856" s="1" t="s">
        <v>18</v>
      </c>
      <c r="H856" s="1" t="s">
        <v>13</v>
      </c>
      <c r="I856" s="1" t="s">
        <v>14</v>
      </c>
      <c r="J856">
        <v>1</v>
      </c>
      <c r="K856" s="1" t="s">
        <v>22</v>
      </c>
      <c r="L856" s="1" t="s">
        <v>30</v>
      </c>
      <c r="M856">
        <v>30</v>
      </c>
      <c r="N856" s="1" t="str" cm="1">
        <f t="array" ref="N856">_xlfn.IFS(M856&lt;40, " Adult", M856&lt;60, "Middle Age", M856&gt;=60, "Older Adult")</f>
        <v xml:space="preserve"> Adult</v>
      </c>
      <c r="O856" s="1" t="s">
        <v>17</v>
      </c>
      <c r="P856" s="1" t="b">
        <f>IF(O856="Yes", 1)</f>
        <v>0</v>
      </c>
      <c r="Q856" s="1"/>
    </row>
    <row r="857" spans="1:17" x14ac:dyDescent="0.25">
      <c r="A857">
        <v>27505</v>
      </c>
      <c r="B857" s="1" t="s">
        <v>34</v>
      </c>
      <c r="C857" s="1" t="s">
        <v>33</v>
      </c>
      <c r="D857" s="2">
        <v>40000</v>
      </c>
      <c r="E857" s="2" t="str">
        <f>IF(bike_buyers[[#This Row],[Income]]&lt;40000,"Under 40K", IF(bike_buyers[[#This Row],[Income]]&lt;60000,"40K-59K", IF(bike_buyers[[#This Row],[Income]]&lt;80000,"60K-79K", IF(bike_buyers[[#This Row],[Income]]&lt;100000,"80K-99K","100K+"))))</f>
        <v>40K-59K</v>
      </c>
      <c r="F857">
        <v>0</v>
      </c>
      <c r="G857" s="1" t="s">
        <v>26</v>
      </c>
      <c r="H857" s="1" t="s">
        <v>13</v>
      </c>
      <c r="I857" s="1" t="s">
        <v>14</v>
      </c>
      <c r="J857">
        <v>2</v>
      </c>
      <c r="K857" s="1" t="s">
        <v>22</v>
      </c>
      <c r="L857" s="1" t="s">
        <v>30</v>
      </c>
      <c r="M857">
        <v>30</v>
      </c>
      <c r="N857" s="1" t="str" cm="1">
        <f t="array" ref="N857">_xlfn.IFS(M857&lt;40, " Adult", M857&lt;60, "Middle Age", M857&gt;=60, "Older Adult")</f>
        <v xml:space="preserve"> Adult</v>
      </c>
      <c r="O857" s="1" t="s">
        <v>17</v>
      </c>
      <c r="P857" s="1" t="b">
        <f>IF(O857="Yes", 1)</f>
        <v>0</v>
      </c>
      <c r="Q857" s="1"/>
    </row>
    <row r="858" spans="1:17" x14ac:dyDescent="0.25">
      <c r="A858">
        <v>20421</v>
      </c>
      <c r="B858" s="1" t="s">
        <v>34</v>
      </c>
      <c r="C858" s="1" t="s">
        <v>33</v>
      </c>
      <c r="D858" s="2">
        <v>40000</v>
      </c>
      <c r="E858" s="2" t="str">
        <f>IF(bike_buyers[[#This Row],[Income]]&lt;40000,"Under 40K", IF(bike_buyers[[#This Row],[Income]]&lt;60000,"40K-59K", IF(bike_buyers[[#This Row],[Income]]&lt;80000,"60K-79K", IF(bike_buyers[[#This Row],[Income]]&lt;100000,"80K-99K","100K+"))))</f>
        <v>40K-59K</v>
      </c>
      <c r="F858">
        <v>0</v>
      </c>
      <c r="G858" s="1" t="s">
        <v>28</v>
      </c>
      <c r="H858" s="1" t="s">
        <v>19</v>
      </c>
      <c r="I858" s="1" t="s">
        <v>14</v>
      </c>
      <c r="J858">
        <v>2</v>
      </c>
      <c r="K858" s="1" t="s">
        <v>22</v>
      </c>
      <c r="L858" s="1" t="s">
        <v>30</v>
      </c>
      <c r="M858">
        <v>26</v>
      </c>
      <c r="N858" s="1" t="str" cm="1">
        <f t="array" ref="N858">_xlfn.IFS(M858&lt;40, " Adult", M858&lt;60, "Middle Age", M858&gt;=60, "Older Adult")</f>
        <v xml:space="preserve"> Adult</v>
      </c>
      <c r="O858" s="1" t="s">
        <v>17</v>
      </c>
      <c r="P858" s="1" t="b">
        <f>IF(O858="Yes", 1)</f>
        <v>0</v>
      </c>
      <c r="Q858" s="1"/>
    </row>
    <row r="859" spans="1:17" x14ac:dyDescent="0.25">
      <c r="A859">
        <v>18891</v>
      </c>
      <c r="B859" s="1" t="s">
        <v>31</v>
      </c>
      <c r="C859" s="1" t="s">
        <v>33</v>
      </c>
      <c r="D859" s="2">
        <v>40000</v>
      </c>
      <c r="E859" s="2" t="str">
        <f>IF(bike_buyers[[#This Row],[Income]]&lt;40000,"Under 40K", IF(bike_buyers[[#This Row],[Income]]&lt;60000,"40K-59K", IF(bike_buyers[[#This Row],[Income]]&lt;80000,"60K-79K", IF(bike_buyers[[#This Row],[Income]]&lt;100000,"80K-99K","100K+"))))</f>
        <v>40K-59K</v>
      </c>
      <c r="F859">
        <v>0</v>
      </c>
      <c r="G859" s="1" t="s">
        <v>18</v>
      </c>
      <c r="H859" s="1" t="s">
        <v>13</v>
      </c>
      <c r="I859" s="1" t="s">
        <v>14</v>
      </c>
      <c r="J859">
        <v>2</v>
      </c>
      <c r="K859" s="1" t="s">
        <v>22</v>
      </c>
      <c r="L859" s="1" t="s">
        <v>30</v>
      </c>
      <c r="M859">
        <v>28</v>
      </c>
      <c r="N859" s="1" t="str" cm="1">
        <f t="array" ref="N859">_xlfn.IFS(M859&lt;40, " Adult", M859&lt;60, "Middle Age", M859&gt;=60, "Older Adult")</f>
        <v xml:space="preserve"> Adult</v>
      </c>
      <c r="O859" s="1" t="s">
        <v>17</v>
      </c>
      <c r="P859" s="1" t="b">
        <f>IF(O859="Yes", 1)</f>
        <v>0</v>
      </c>
      <c r="Q859" s="1"/>
    </row>
    <row r="860" spans="1:17" x14ac:dyDescent="0.25">
      <c r="A860">
        <v>22743</v>
      </c>
      <c r="B860" s="1" t="s">
        <v>31</v>
      </c>
      <c r="C860" s="1" t="s">
        <v>33</v>
      </c>
      <c r="D860" s="2">
        <v>40000</v>
      </c>
      <c r="E860" s="2" t="str">
        <f>IF(bike_buyers[[#This Row],[Income]]&lt;40000,"Under 40K", IF(bike_buyers[[#This Row],[Income]]&lt;60000,"40K-59K", IF(bike_buyers[[#This Row],[Income]]&lt;80000,"60K-79K", IF(bike_buyers[[#This Row],[Income]]&lt;100000,"80K-99K","100K+"))))</f>
        <v>40K-59K</v>
      </c>
      <c r="F860">
        <v>5</v>
      </c>
      <c r="G860" s="1" t="s">
        <v>26</v>
      </c>
      <c r="H860" s="1" t="s">
        <v>20</v>
      </c>
      <c r="I860" s="1" t="s">
        <v>14</v>
      </c>
      <c r="J860">
        <v>2</v>
      </c>
      <c r="K860" s="1" t="s">
        <v>62</v>
      </c>
      <c r="L860" s="1" t="s">
        <v>30</v>
      </c>
      <c r="M860">
        <v>60</v>
      </c>
      <c r="N860" s="1" t="str" cm="1">
        <f t="array" ref="N860">_xlfn.IFS(M860&lt;40, " Adult", M860&lt;60, "Middle Age", M860&gt;=60, "Older Adult")</f>
        <v>Older Adult</v>
      </c>
      <c r="O860" s="1" t="s">
        <v>17</v>
      </c>
      <c r="P860" s="1" t="b">
        <f>IF(O860="Yes", 1)</f>
        <v>0</v>
      </c>
      <c r="Q860" s="1"/>
    </row>
    <row r="861" spans="1:17" x14ac:dyDescent="0.25">
      <c r="A861">
        <v>17482</v>
      </c>
      <c r="B861" s="1" t="s">
        <v>34</v>
      </c>
      <c r="C861" s="1" t="s">
        <v>33</v>
      </c>
      <c r="D861" s="2">
        <v>40000</v>
      </c>
      <c r="E861" s="2" t="str">
        <f>IF(bike_buyers[[#This Row],[Income]]&lt;40000,"Under 40K", IF(bike_buyers[[#This Row],[Income]]&lt;60000,"40K-59K", IF(bike_buyers[[#This Row],[Income]]&lt;80000,"60K-79K", IF(bike_buyers[[#This Row],[Income]]&lt;100000,"80K-99K","100K+"))))</f>
        <v>40K-59K</v>
      </c>
      <c r="F861">
        <v>0</v>
      </c>
      <c r="G861" s="1" t="s">
        <v>28</v>
      </c>
      <c r="H861" s="1" t="s">
        <v>19</v>
      </c>
      <c r="I861" s="1" t="s">
        <v>14</v>
      </c>
      <c r="J861">
        <v>2</v>
      </c>
      <c r="K861" s="1" t="s">
        <v>22</v>
      </c>
      <c r="L861" s="1" t="s">
        <v>30</v>
      </c>
      <c r="M861">
        <v>29</v>
      </c>
      <c r="N861" s="1" t="str" cm="1">
        <f t="array" ref="N861">_xlfn.IFS(M861&lt;40, " Adult", M861&lt;60, "Middle Age", M861&gt;=60, "Older Adult")</f>
        <v xml:space="preserve"> Adult</v>
      </c>
      <c r="O861" s="1" t="s">
        <v>17</v>
      </c>
      <c r="P861" s="1" t="b">
        <f>IF(O861="Yes", 1)</f>
        <v>0</v>
      </c>
      <c r="Q861" s="1"/>
    </row>
    <row r="862" spans="1:17" x14ac:dyDescent="0.25">
      <c r="A862">
        <v>20504</v>
      </c>
      <c r="B862" s="1" t="s">
        <v>31</v>
      </c>
      <c r="C862" s="1" t="s">
        <v>33</v>
      </c>
      <c r="D862" s="2">
        <v>40000</v>
      </c>
      <c r="E862" s="2" t="str">
        <f>IF(bike_buyers[[#This Row],[Income]]&lt;40000,"Under 40K", IF(bike_buyers[[#This Row],[Income]]&lt;60000,"40K-59K", IF(bike_buyers[[#This Row],[Income]]&lt;80000,"60K-79K", IF(bike_buyers[[#This Row],[Income]]&lt;100000,"80K-99K","100K+"))))</f>
        <v>40K-59K</v>
      </c>
      <c r="F862">
        <v>5</v>
      </c>
      <c r="G862" s="1" t="s">
        <v>26</v>
      </c>
      <c r="H862" s="1" t="s">
        <v>20</v>
      </c>
      <c r="I862" s="1" t="s">
        <v>17</v>
      </c>
      <c r="J862">
        <v>2</v>
      </c>
      <c r="K862" s="1" t="s">
        <v>21</v>
      </c>
      <c r="L862" s="1" t="s">
        <v>30</v>
      </c>
      <c r="M862">
        <v>60</v>
      </c>
      <c r="N862" s="1" t="str" cm="1">
        <f t="array" ref="N862">_xlfn.IFS(M862&lt;40, " Adult", M862&lt;60, "Middle Age", M862&gt;=60, "Older Adult")</f>
        <v>Older Adult</v>
      </c>
      <c r="O862" s="1" t="s">
        <v>17</v>
      </c>
      <c r="P862" s="1" t="b">
        <f>IF(O862="Yes", 1)</f>
        <v>0</v>
      </c>
      <c r="Q862" s="1"/>
    </row>
    <row r="863" spans="1:17" x14ac:dyDescent="0.25">
      <c r="A863">
        <v>21613</v>
      </c>
      <c r="B863" s="1" t="s">
        <v>34</v>
      </c>
      <c r="C863" s="1" t="s">
        <v>32</v>
      </c>
      <c r="D863" s="2">
        <v>50000</v>
      </c>
      <c r="E863" s="2" t="str">
        <f>IF(bike_buyers[[#This Row],[Income]]&lt;40000,"Under 40K", IF(bike_buyers[[#This Row],[Income]]&lt;60000,"40K-59K", IF(bike_buyers[[#This Row],[Income]]&lt;80000,"60K-79K", IF(bike_buyers[[#This Row],[Income]]&lt;100000,"80K-99K","100K+"))))</f>
        <v>40K-59K</v>
      </c>
      <c r="F863">
        <v>2</v>
      </c>
      <c r="G863" s="1" t="s">
        <v>12</v>
      </c>
      <c r="H863" s="1" t="s">
        <v>13</v>
      </c>
      <c r="I863" s="1" t="s">
        <v>17</v>
      </c>
      <c r="J863">
        <v>1</v>
      </c>
      <c r="K863" s="1" t="s">
        <v>15</v>
      </c>
      <c r="L863" s="1" t="s">
        <v>30</v>
      </c>
      <c r="M863">
        <v>39</v>
      </c>
      <c r="N863" s="1" t="str" cm="1">
        <f t="array" ref="N863">_xlfn.IFS(M863&lt;40, " Adult", M863&lt;60, "Middle Age", M863&gt;=60, "Older Adult")</f>
        <v xml:space="preserve"> Adult</v>
      </c>
      <c r="O863" s="1" t="s">
        <v>14</v>
      </c>
      <c r="P863" s="1">
        <f>IF(O863="Yes", 1)</f>
        <v>1</v>
      </c>
      <c r="Q863" s="1"/>
    </row>
    <row r="864" spans="1:17" x14ac:dyDescent="0.25">
      <c r="A864">
        <v>29052</v>
      </c>
      <c r="B864" s="1" t="s">
        <v>34</v>
      </c>
      <c r="C864" s="1" t="s">
        <v>32</v>
      </c>
      <c r="D864" s="2">
        <v>40000</v>
      </c>
      <c r="E864" s="2" t="str">
        <f>IF(bike_buyers[[#This Row],[Income]]&lt;40000,"Under 40K", IF(bike_buyers[[#This Row],[Income]]&lt;60000,"40K-59K", IF(bike_buyers[[#This Row],[Income]]&lt;80000,"60K-79K", IF(bike_buyers[[#This Row],[Income]]&lt;100000,"80K-99K","100K+"))))</f>
        <v>40K-59K</v>
      </c>
      <c r="F864">
        <v>0</v>
      </c>
      <c r="G864" s="1" t="s">
        <v>18</v>
      </c>
      <c r="H864" s="1" t="s">
        <v>13</v>
      </c>
      <c r="I864" s="1" t="s">
        <v>14</v>
      </c>
      <c r="J864">
        <v>1</v>
      </c>
      <c r="K864" s="1" t="s">
        <v>22</v>
      </c>
      <c r="L864" s="1" t="s">
        <v>30</v>
      </c>
      <c r="M864">
        <v>27</v>
      </c>
      <c r="N864" s="1" t="str" cm="1">
        <f t="array" ref="N864">_xlfn.IFS(M864&lt;40, " Adult", M864&lt;60, "Middle Age", M864&gt;=60, "Older Adult")</f>
        <v xml:space="preserve"> Adult</v>
      </c>
      <c r="O864" s="1" t="s">
        <v>17</v>
      </c>
      <c r="P864" s="1" t="b">
        <f>IF(O864="Yes", 1)</f>
        <v>0</v>
      </c>
      <c r="Q864" s="1"/>
    </row>
    <row r="865" spans="1:17" x14ac:dyDescent="0.25">
      <c r="A865">
        <v>19147</v>
      </c>
      <c r="B865" s="1" t="s">
        <v>31</v>
      </c>
      <c r="C865" s="1" t="s">
        <v>32</v>
      </c>
      <c r="D865" s="2">
        <v>40000</v>
      </c>
      <c r="E865" s="2" t="str">
        <f>IF(bike_buyers[[#This Row],[Income]]&lt;40000,"Under 40K", IF(bike_buyers[[#This Row],[Income]]&lt;60000,"40K-59K", IF(bike_buyers[[#This Row],[Income]]&lt;80000,"60K-79K", IF(bike_buyers[[#This Row],[Income]]&lt;100000,"80K-99K","100K+"))))</f>
        <v>40K-59K</v>
      </c>
      <c r="F865">
        <v>0</v>
      </c>
      <c r="G865" s="1" t="s">
        <v>12</v>
      </c>
      <c r="H865" s="1" t="s">
        <v>20</v>
      </c>
      <c r="I865" s="1" t="s">
        <v>17</v>
      </c>
      <c r="J865">
        <v>1</v>
      </c>
      <c r="K865" s="1" t="s">
        <v>15</v>
      </c>
      <c r="L865" s="1" t="s">
        <v>30</v>
      </c>
      <c r="M865">
        <v>42</v>
      </c>
      <c r="N865" s="1" t="str" cm="1">
        <f t="array" ref="N865">_xlfn.IFS(M865&lt;40, " Adult", M865&lt;60, "Middle Age", M865&gt;=60, "Older Adult")</f>
        <v>Middle Age</v>
      </c>
      <c r="O865" s="1" t="s">
        <v>17</v>
      </c>
      <c r="P865" s="1" t="b">
        <f>IF(O865="Yes", 1)</f>
        <v>0</v>
      </c>
      <c r="Q865" s="1"/>
    </row>
    <row r="866" spans="1:17" x14ac:dyDescent="0.25">
      <c r="A866">
        <v>22330</v>
      </c>
      <c r="B866" s="1" t="s">
        <v>31</v>
      </c>
      <c r="C866" s="1" t="s">
        <v>32</v>
      </c>
      <c r="D866" s="2">
        <v>50000</v>
      </c>
      <c r="E866" s="2" t="str">
        <f>IF(bike_buyers[[#This Row],[Income]]&lt;40000,"Under 40K", IF(bike_buyers[[#This Row],[Income]]&lt;60000,"40K-59K", IF(bike_buyers[[#This Row],[Income]]&lt;80000,"60K-79K", IF(bike_buyers[[#This Row],[Income]]&lt;100000,"80K-99K","100K+"))))</f>
        <v>40K-59K</v>
      </c>
      <c r="F866">
        <v>0</v>
      </c>
      <c r="G866" s="1" t="s">
        <v>29</v>
      </c>
      <c r="H866" s="1" t="s">
        <v>13</v>
      </c>
      <c r="I866" s="1" t="s">
        <v>14</v>
      </c>
      <c r="J866">
        <v>0</v>
      </c>
      <c r="K866" s="1" t="s">
        <v>25</v>
      </c>
      <c r="L866" s="1" t="s">
        <v>30</v>
      </c>
      <c r="M866">
        <v>32</v>
      </c>
      <c r="N866" s="1" t="str" cm="1">
        <f t="array" ref="N866">_xlfn.IFS(M866&lt;40, " Adult", M866&lt;60, "Middle Age", M866&gt;=60, "Older Adult")</f>
        <v xml:space="preserve"> Adult</v>
      </c>
      <c r="O866" s="1" t="s">
        <v>14</v>
      </c>
      <c r="P866" s="1">
        <f>IF(O866="Yes", 1)</f>
        <v>1</v>
      </c>
      <c r="Q866" s="1"/>
    </row>
    <row r="867" spans="1:17" x14ac:dyDescent="0.25">
      <c r="A867">
        <v>25041</v>
      </c>
      <c r="B867" s="1" t="s">
        <v>34</v>
      </c>
      <c r="C867" s="1" t="s">
        <v>32</v>
      </c>
      <c r="D867" s="2">
        <v>40000</v>
      </c>
      <c r="E867" s="2" t="str">
        <f>IF(bike_buyers[[#This Row],[Income]]&lt;40000,"Under 40K", IF(bike_buyers[[#This Row],[Income]]&lt;60000,"40K-59K", IF(bike_buyers[[#This Row],[Income]]&lt;80000,"60K-79K", IF(bike_buyers[[#This Row],[Income]]&lt;100000,"80K-99K","100K+"))))</f>
        <v>40K-59K</v>
      </c>
      <c r="F867">
        <v>0</v>
      </c>
      <c r="G867" s="1" t="s">
        <v>26</v>
      </c>
      <c r="H867" s="1" t="s">
        <v>13</v>
      </c>
      <c r="I867" s="1" t="s">
        <v>14</v>
      </c>
      <c r="J867">
        <v>2</v>
      </c>
      <c r="K867" s="1" t="s">
        <v>22</v>
      </c>
      <c r="L867" s="1" t="s">
        <v>30</v>
      </c>
      <c r="M867">
        <v>31</v>
      </c>
      <c r="N867" s="1" t="str" cm="1">
        <f t="array" ref="N867">_xlfn.IFS(M867&lt;40, " Adult", M867&lt;60, "Middle Age", M867&gt;=60, "Older Adult")</f>
        <v xml:space="preserve"> Adult</v>
      </c>
      <c r="O867" s="1" t="s">
        <v>17</v>
      </c>
      <c r="P867" s="1" t="b">
        <f>IF(O867="Yes", 1)</f>
        <v>0</v>
      </c>
      <c r="Q867" s="1"/>
    </row>
    <row r="868" spans="1:17" x14ac:dyDescent="0.25">
      <c r="A868">
        <v>23197</v>
      </c>
      <c r="B868" s="1" t="s">
        <v>31</v>
      </c>
      <c r="C868" s="1" t="s">
        <v>32</v>
      </c>
      <c r="D868" s="2">
        <v>50000</v>
      </c>
      <c r="E868" s="2" t="str">
        <f>IF(bike_buyers[[#This Row],[Income]]&lt;40000,"Under 40K", IF(bike_buyers[[#This Row],[Income]]&lt;60000,"40K-59K", IF(bike_buyers[[#This Row],[Income]]&lt;80000,"60K-79K", IF(bike_buyers[[#This Row],[Income]]&lt;100000,"80K-99K","100K+"))))</f>
        <v>40K-59K</v>
      </c>
      <c r="F868">
        <v>3</v>
      </c>
      <c r="G868" s="1" t="s">
        <v>12</v>
      </c>
      <c r="H868" s="1" t="s">
        <v>13</v>
      </c>
      <c r="I868" s="1" t="s">
        <v>14</v>
      </c>
      <c r="J868">
        <v>2</v>
      </c>
      <c r="K868" s="1" t="s">
        <v>21</v>
      </c>
      <c r="L868" s="1" t="s">
        <v>30</v>
      </c>
      <c r="M868">
        <v>40</v>
      </c>
      <c r="N868" s="1" t="str" cm="1">
        <f t="array" ref="N868">_xlfn.IFS(M868&lt;40, " Adult", M868&lt;60, "Middle Age", M868&gt;=60, "Older Adult")</f>
        <v>Middle Age</v>
      </c>
      <c r="O868" s="1" t="s">
        <v>17</v>
      </c>
      <c r="P868" s="1" t="b">
        <f>IF(O868="Yes", 1)</f>
        <v>0</v>
      </c>
      <c r="Q868" s="1"/>
    </row>
    <row r="869" spans="1:17" x14ac:dyDescent="0.25">
      <c r="A869">
        <v>28278</v>
      </c>
      <c r="B869" s="1" t="s">
        <v>31</v>
      </c>
      <c r="C869" s="1" t="s">
        <v>32</v>
      </c>
      <c r="D869" s="2">
        <v>50000</v>
      </c>
      <c r="E869" s="2" t="str">
        <f>IF(bike_buyers[[#This Row],[Income]]&lt;40000,"Under 40K", IF(bike_buyers[[#This Row],[Income]]&lt;60000,"40K-59K", IF(bike_buyers[[#This Row],[Income]]&lt;80000,"60K-79K", IF(bike_buyers[[#This Row],[Income]]&lt;100000,"80K-99K","100K+"))))</f>
        <v>40K-59K</v>
      </c>
      <c r="F869">
        <v>2</v>
      </c>
      <c r="G869" s="1" t="s">
        <v>29</v>
      </c>
      <c r="H869" s="1" t="s">
        <v>27</v>
      </c>
      <c r="I869" s="1" t="s">
        <v>14</v>
      </c>
      <c r="J869">
        <v>2</v>
      </c>
      <c r="K869" s="1" t="s">
        <v>22</v>
      </c>
      <c r="L869" s="1" t="s">
        <v>30</v>
      </c>
      <c r="M869">
        <v>71</v>
      </c>
      <c r="N869" s="1" t="str" cm="1">
        <f t="array" ref="N869">_xlfn.IFS(M869&lt;40, " Adult", M869&lt;60, "Middle Age", M869&gt;=60, "Older Adult")</f>
        <v>Older Adult</v>
      </c>
      <c r="O869" s="1" t="s">
        <v>17</v>
      </c>
      <c r="P869" s="1" t="b">
        <f>IF(O869="Yes", 1)</f>
        <v>0</v>
      </c>
      <c r="Q869" s="1"/>
    </row>
    <row r="870" spans="1:17" x14ac:dyDescent="0.25">
      <c r="A870">
        <v>11622</v>
      </c>
      <c r="B870" s="1" t="s">
        <v>31</v>
      </c>
      <c r="C870" s="1" t="s">
        <v>32</v>
      </c>
      <c r="D870" s="2">
        <v>50000</v>
      </c>
      <c r="E870" s="2" t="str">
        <f>IF(bike_buyers[[#This Row],[Income]]&lt;40000,"Under 40K", IF(bike_buyers[[#This Row],[Income]]&lt;60000,"40K-59K", IF(bike_buyers[[#This Row],[Income]]&lt;80000,"60K-79K", IF(bike_buyers[[#This Row],[Income]]&lt;100000,"80K-99K","100K+"))))</f>
        <v>40K-59K</v>
      </c>
      <c r="F870">
        <v>0</v>
      </c>
      <c r="G870" s="1" t="s">
        <v>29</v>
      </c>
      <c r="H870" s="1" t="s">
        <v>13</v>
      </c>
      <c r="I870" s="1" t="s">
        <v>14</v>
      </c>
      <c r="J870">
        <v>0</v>
      </c>
      <c r="K870" s="1" t="s">
        <v>15</v>
      </c>
      <c r="L870" s="1" t="s">
        <v>30</v>
      </c>
      <c r="M870">
        <v>32</v>
      </c>
      <c r="N870" s="1" t="str" cm="1">
        <f t="array" ref="N870">_xlfn.IFS(M870&lt;40, " Adult", M870&lt;60, "Middle Age", M870&gt;=60, "Older Adult")</f>
        <v xml:space="preserve"> Adult</v>
      </c>
      <c r="O870" s="1" t="s">
        <v>17</v>
      </c>
      <c r="P870" s="1" t="b">
        <f>IF(O870="Yes", 1)</f>
        <v>0</v>
      </c>
      <c r="Q870" s="1"/>
    </row>
    <row r="871" spans="1:17" x14ac:dyDescent="0.25">
      <c r="A871">
        <v>19228</v>
      </c>
      <c r="B871" s="1" t="s">
        <v>31</v>
      </c>
      <c r="C871" s="1" t="s">
        <v>33</v>
      </c>
      <c r="D871" s="2">
        <v>40000</v>
      </c>
      <c r="E871" s="2" t="str">
        <f>IF(bike_buyers[[#This Row],[Income]]&lt;40000,"Under 40K", IF(bike_buyers[[#This Row],[Income]]&lt;60000,"40K-59K", IF(bike_buyers[[#This Row],[Income]]&lt;80000,"60K-79K", IF(bike_buyers[[#This Row],[Income]]&lt;100000,"80K-99K","100K+"))))</f>
        <v>40K-59K</v>
      </c>
      <c r="F871">
        <v>2</v>
      </c>
      <c r="G871" s="1" t="s">
        <v>18</v>
      </c>
      <c r="H871" s="1" t="s">
        <v>19</v>
      </c>
      <c r="I871" s="1" t="s">
        <v>14</v>
      </c>
      <c r="J871">
        <v>1</v>
      </c>
      <c r="K871" s="1" t="s">
        <v>15</v>
      </c>
      <c r="L871" s="1" t="s">
        <v>30</v>
      </c>
      <c r="M871">
        <v>48</v>
      </c>
      <c r="N871" s="1" t="str" cm="1">
        <f t="array" ref="N871">_xlfn.IFS(M871&lt;40, " Adult", M871&lt;60, "Middle Age", M871&gt;=60, "Older Adult")</f>
        <v>Middle Age</v>
      </c>
      <c r="O871" s="1" t="s">
        <v>17</v>
      </c>
      <c r="P871" s="1" t="b">
        <f>IF(O871="Yes", 1)</f>
        <v>0</v>
      </c>
      <c r="Q871" s="1"/>
    </row>
    <row r="872" spans="1:17" x14ac:dyDescent="0.25">
      <c r="A872">
        <v>20401</v>
      </c>
      <c r="B872" s="1" t="s">
        <v>31</v>
      </c>
      <c r="C872" s="1" t="s">
        <v>33</v>
      </c>
      <c r="D872" s="2">
        <v>50000</v>
      </c>
      <c r="E872" s="2" t="str">
        <f>IF(bike_buyers[[#This Row],[Income]]&lt;40000,"Under 40K", IF(bike_buyers[[#This Row],[Income]]&lt;60000,"40K-59K", IF(bike_buyers[[#This Row],[Income]]&lt;80000,"60K-79K", IF(bike_buyers[[#This Row],[Income]]&lt;100000,"80K-99K","100K+"))))</f>
        <v>40K-59K</v>
      </c>
      <c r="F872">
        <v>4</v>
      </c>
      <c r="G872" s="1" t="s">
        <v>12</v>
      </c>
      <c r="H872" s="1" t="s">
        <v>27</v>
      </c>
      <c r="I872" s="1" t="s">
        <v>14</v>
      </c>
      <c r="J872">
        <v>2</v>
      </c>
      <c r="K872" s="1" t="s">
        <v>25</v>
      </c>
      <c r="L872" s="1" t="s">
        <v>30</v>
      </c>
      <c r="M872">
        <v>64</v>
      </c>
      <c r="N872" s="1" t="str" cm="1">
        <f t="array" ref="N872">_xlfn.IFS(M872&lt;40, " Adult", M872&lt;60, "Middle Age", M872&gt;=60, "Older Adult")</f>
        <v>Older Adult</v>
      </c>
      <c r="O872" s="1" t="s">
        <v>14</v>
      </c>
      <c r="P872" s="1">
        <f>IF(O872="Yes", 1)</f>
        <v>1</v>
      </c>
      <c r="Q872" s="1"/>
    </row>
    <row r="873" spans="1:17" x14ac:dyDescent="0.25">
      <c r="A873">
        <v>21583</v>
      </c>
      <c r="B873" s="1" t="s">
        <v>31</v>
      </c>
      <c r="C873" s="1" t="s">
        <v>33</v>
      </c>
      <c r="D873" s="2">
        <v>50000</v>
      </c>
      <c r="E873" s="2" t="str">
        <f>IF(bike_buyers[[#This Row],[Income]]&lt;40000,"Under 40K", IF(bike_buyers[[#This Row],[Income]]&lt;60000,"40K-59K", IF(bike_buyers[[#This Row],[Income]]&lt;80000,"60K-79K", IF(bike_buyers[[#This Row],[Income]]&lt;100000,"80K-99K","100K+"))))</f>
        <v>40K-59K</v>
      </c>
      <c r="F873">
        <v>1</v>
      </c>
      <c r="G873" s="1" t="s">
        <v>12</v>
      </c>
      <c r="H873" s="1" t="s">
        <v>13</v>
      </c>
      <c r="I873" s="1" t="s">
        <v>14</v>
      </c>
      <c r="J873">
        <v>0</v>
      </c>
      <c r="K873" s="1" t="s">
        <v>15</v>
      </c>
      <c r="L873" s="1" t="s">
        <v>30</v>
      </c>
      <c r="M873">
        <v>34</v>
      </c>
      <c r="N873" s="1" t="str" cm="1">
        <f t="array" ref="N873">_xlfn.IFS(M873&lt;40, " Adult", M873&lt;60, "Middle Age", M873&gt;=60, "Older Adult")</f>
        <v xml:space="preserve"> Adult</v>
      </c>
      <c r="O873" s="1" t="s">
        <v>14</v>
      </c>
      <c r="P873" s="1">
        <f>IF(O873="Yes", 1)</f>
        <v>1</v>
      </c>
      <c r="Q873" s="1"/>
    </row>
    <row r="874" spans="1:17" x14ac:dyDescent="0.25">
      <c r="A874">
        <v>16122</v>
      </c>
      <c r="B874" s="1" t="s">
        <v>31</v>
      </c>
      <c r="C874" s="1" t="s">
        <v>32</v>
      </c>
      <c r="D874" s="2">
        <v>40000</v>
      </c>
      <c r="E874" s="2" t="str">
        <f>IF(bike_buyers[[#This Row],[Income]]&lt;40000,"Under 40K", IF(bike_buyers[[#This Row],[Income]]&lt;60000,"40K-59K", IF(bike_buyers[[#This Row],[Income]]&lt;80000,"60K-79K", IF(bike_buyers[[#This Row],[Income]]&lt;100000,"80K-99K","100K+"))))</f>
        <v>40K-59K</v>
      </c>
      <c r="F874">
        <v>4</v>
      </c>
      <c r="G874" s="1" t="s">
        <v>26</v>
      </c>
      <c r="H874" s="1" t="s">
        <v>13</v>
      </c>
      <c r="I874" s="1" t="s">
        <v>14</v>
      </c>
      <c r="J874">
        <v>2</v>
      </c>
      <c r="K874" s="1" t="s">
        <v>15</v>
      </c>
      <c r="L874" s="1" t="s">
        <v>30</v>
      </c>
      <c r="M874">
        <v>44</v>
      </c>
      <c r="N874" s="1" t="str" cm="1">
        <f t="array" ref="N874">_xlfn.IFS(M874&lt;40, " Adult", M874&lt;60, "Middle Age", M874&gt;=60, "Older Adult")</f>
        <v>Middle Age</v>
      </c>
      <c r="O874" s="1" t="s">
        <v>14</v>
      </c>
      <c r="P874" s="1">
        <f>IF(O874="Yes", 1)</f>
        <v>1</v>
      </c>
      <c r="Q874" s="1"/>
    </row>
    <row r="875" spans="1:17" x14ac:dyDescent="0.25">
      <c r="A875">
        <v>19747</v>
      </c>
      <c r="B875" s="1" t="s">
        <v>31</v>
      </c>
      <c r="C875" s="1" t="s">
        <v>32</v>
      </c>
      <c r="D875" s="2">
        <v>50000</v>
      </c>
      <c r="E875" s="2" t="str">
        <f>IF(bike_buyers[[#This Row],[Income]]&lt;40000,"Under 40K", IF(bike_buyers[[#This Row],[Income]]&lt;60000,"40K-59K", IF(bike_buyers[[#This Row],[Income]]&lt;80000,"60K-79K", IF(bike_buyers[[#This Row],[Income]]&lt;100000,"80K-99K","100K+"))))</f>
        <v>40K-59K</v>
      </c>
      <c r="F875">
        <v>4</v>
      </c>
      <c r="G875" s="1" t="s">
        <v>12</v>
      </c>
      <c r="H875" s="1" t="s">
        <v>27</v>
      </c>
      <c r="I875" s="1" t="s">
        <v>14</v>
      </c>
      <c r="J875">
        <v>2</v>
      </c>
      <c r="K875" s="1" t="s">
        <v>62</v>
      </c>
      <c r="L875" s="1" t="s">
        <v>30</v>
      </c>
      <c r="M875">
        <v>63</v>
      </c>
      <c r="N875" s="1" t="str" cm="1">
        <f t="array" ref="N875">_xlfn.IFS(M875&lt;40, " Adult", M875&lt;60, "Middle Age", M875&gt;=60, "Older Adult")</f>
        <v>Older Adult</v>
      </c>
      <c r="O875" s="1" t="s">
        <v>17</v>
      </c>
      <c r="P875" s="1" t="b">
        <f>IF(O875="Yes", 1)</f>
        <v>0</v>
      </c>
      <c r="Q875" s="1"/>
    </row>
    <row r="876" spans="1:17" x14ac:dyDescent="0.25">
      <c r="A876">
        <v>23195</v>
      </c>
      <c r="B876" s="1" t="s">
        <v>34</v>
      </c>
      <c r="C876" s="1" t="s">
        <v>32</v>
      </c>
      <c r="D876" s="2">
        <v>50000</v>
      </c>
      <c r="E876" s="2" t="str">
        <f>IF(bike_buyers[[#This Row],[Income]]&lt;40000,"Under 40K", IF(bike_buyers[[#This Row],[Income]]&lt;60000,"40K-59K", IF(bike_buyers[[#This Row],[Income]]&lt;80000,"60K-79K", IF(bike_buyers[[#This Row],[Income]]&lt;100000,"80K-99K","100K+"))))</f>
        <v>40K-59K</v>
      </c>
      <c r="F876">
        <v>3</v>
      </c>
      <c r="G876" s="1" t="s">
        <v>12</v>
      </c>
      <c r="H876" s="1" t="s">
        <v>13</v>
      </c>
      <c r="I876" s="1" t="s">
        <v>14</v>
      </c>
      <c r="J876">
        <v>2</v>
      </c>
      <c r="K876" s="1" t="s">
        <v>21</v>
      </c>
      <c r="L876" s="1" t="s">
        <v>30</v>
      </c>
      <c r="M876">
        <v>41</v>
      </c>
      <c r="N876" s="1" t="str" cm="1">
        <f t="array" ref="N876">_xlfn.IFS(M876&lt;40, " Adult", M876&lt;60, "Middle Age", M876&gt;=60, "Older Adult")</f>
        <v>Middle Age</v>
      </c>
      <c r="O876" s="1" t="s">
        <v>14</v>
      </c>
      <c r="P876" s="1">
        <f>IF(O876="Yes", 1)</f>
        <v>1</v>
      </c>
      <c r="Q876" s="1"/>
    </row>
    <row r="877" spans="1:17" x14ac:dyDescent="0.25">
      <c r="A877">
        <v>13934</v>
      </c>
      <c r="B877" s="1" t="s">
        <v>31</v>
      </c>
      <c r="C877" s="1" t="s">
        <v>32</v>
      </c>
      <c r="D877" s="2">
        <v>40000</v>
      </c>
      <c r="E877" s="2" t="str">
        <f>IF(bike_buyers[[#This Row],[Income]]&lt;40000,"Under 40K", IF(bike_buyers[[#This Row],[Income]]&lt;60000,"40K-59K", IF(bike_buyers[[#This Row],[Income]]&lt;80000,"60K-79K", IF(bike_buyers[[#This Row],[Income]]&lt;100000,"80K-99K","100K+"))))</f>
        <v>40K-59K</v>
      </c>
      <c r="F877">
        <v>4</v>
      </c>
      <c r="G877" s="1" t="s">
        <v>26</v>
      </c>
      <c r="H877" s="1" t="s">
        <v>13</v>
      </c>
      <c r="I877" s="1" t="s">
        <v>14</v>
      </c>
      <c r="J877">
        <v>2</v>
      </c>
      <c r="K877" s="1" t="s">
        <v>21</v>
      </c>
      <c r="L877" s="1" t="s">
        <v>30</v>
      </c>
      <c r="M877">
        <v>46</v>
      </c>
      <c r="N877" s="1" t="str" cm="1">
        <f t="array" ref="N877">_xlfn.IFS(M877&lt;40, " Adult", M877&lt;60, "Middle Age", M877&gt;=60, "Older Adult")</f>
        <v>Middle Age</v>
      </c>
      <c r="O877" s="1" t="s">
        <v>17</v>
      </c>
      <c r="P877" s="1" t="b">
        <f>IF(O877="Yes", 1)</f>
        <v>0</v>
      </c>
      <c r="Q877" s="1"/>
    </row>
    <row r="878" spans="1:17" x14ac:dyDescent="0.25">
      <c r="A878">
        <v>27190</v>
      </c>
      <c r="B878" s="1" t="s">
        <v>31</v>
      </c>
      <c r="C878" s="1" t="s">
        <v>33</v>
      </c>
      <c r="D878" s="2">
        <v>40000</v>
      </c>
      <c r="E878" s="2" t="str">
        <f>IF(bike_buyers[[#This Row],[Income]]&lt;40000,"Under 40K", IF(bike_buyers[[#This Row],[Income]]&lt;60000,"40K-59K", IF(bike_buyers[[#This Row],[Income]]&lt;80000,"60K-79K", IF(bike_buyers[[#This Row],[Income]]&lt;100000,"80K-99K","100K+"))))</f>
        <v>40K-59K</v>
      </c>
      <c r="F878">
        <v>3</v>
      </c>
      <c r="G878" s="1" t="s">
        <v>18</v>
      </c>
      <c r="H878" s="1" t="s">
        <v>19</v>
      </c>
      <c r="I878" s="1" t="s">
        <v>14</v>
      </c>
      <c r="J878">
        <v>1</v>
      </c>
      <c r="K878" s="1" t="s">
        <v>25</v>
      </c>
      <c r="L878" s="1" t="s">
        <v>30</v>
      </c>
      <c r="M878">
        <v>32</v>
      </c>
      <c r="N878" s="1" t="str" cm="1">
        <f t="array" ref="N878">_xlfn.IFS(M878&lt;40, " Adult", M878&lt;60, "Middle Age", M878&gt;=60, "Older Adult")</f>
        <v xml:space="preserve"> Adult</v>
      </c>
      <c r="O878" s="1" t="s">
        <v>17</v>
      </c>
      <c r="P878" s="1" t="b">
        <f>IF(O878="Yes", 1)</f>
        <v>0</v>
      </c>
      <c r="Q878" s="1"/>
    </row>
    <row r="879" spans="1:17" x14ac:dyDescent="0.25">
      <c r="A879">
        <v>21451</v>
      </c>
      <c r="B879" s="1" t="s">
        <v>31</v>
      </c>
      <c r="C879" s="1" t="s">
        <v>33</v>
      </c>
      <c r="D879" s="2">
        <v>40000</v>
      </c>
      <c r="E879" s="2" t="str">
        <f>IF(bike_buyers[[#This Row],[Income]]&lt;40000,"Under 40K", IF(bike_buyers[[#This Row],[Income]]&lt;60000,"40K-59K", IF(bike_buyers[[#This Row],[Income]]&lt;80000,"60K-79K", IF(bike_buyers[[#This Row],[Income]]&lt;100000,"80K-99K","100K+"))))</f>
        <v>40K-59K</v>
      </c>
      <c r="F879">
        <v>4</v>
      </c>
      <c r="G879" s="1" t="s">
        <v>26</v>
      </c>
      <c r="H879" s="1" t="s">
        <v>20</v>
      </c>
      <c r="I879" s="1" t="s">
        <v>14</v>
      </c>
      <c r="J879">
        <v>2</v>
      </c>
      <c r="K879" s="1" t="s">
        <v>62</v>
      </c>
      <c r="L879" s="1" t="s">
        <v>30</v>
      </c>
      <c r="M879">
        <v>61</v>
      </c>
      <c r="N879" s="1" t="str" cm="1">
        <f t="array" ref="N879">_xlfn.IFS(M879&lt;40, " Adult", M879&lt;60, "Middle Age", M879&gt;=60, "Older Adult")</f>
        <v>Older Adult</v>
      </c>
      <c r="O879" s="1" t="s">
        <v>17</v>
      </c>
      <c r="P879" s="1" t="b">
        <f>IF(O879="Yes", 1)</f>
        <v>0</v>
      </c>
      <c r="Q879" s="1"/>
    </row>
    <row r="880" spans="1:17" x14ac:dyDescent="0.25">
      <c r="A880">
        <v>16895</v>
      </c>
      <c r="B880" s="1" t="s">
        <v>31</v>
      </c>
      <c r="C880" s="1" t="s">
        <v>33</v>
      </c>
      <c r="D880" s="2">
        <v>40000</v>
      </c>
      <c r="E880" s="2" t="str">
        <f>IF(bike_buyers[[#This Row],[Income]]&lt;40000,"Under 40K", IF(bike_buyers[[#This Row],[Income]]&lt;60000,"40K-59K", IF(bike_buyers[[#This Row],[Income]]&lt;80000,"60K-79K", IF(bike_buyers[[#This Row],[Income]]&lt;100000,"80K-99K","100K+"))))</f>
        <v>40K-59K</v>
      </c>
      <c r="F880">
        <v>3</v>
      </c>
      <c r="G880" s="1" t="s">
        <v>18</v>
      </c>
      <c r="H880" s="1" t="s">
        <v>20</v>
      </c>
      <c r="I880" s="1" t="s">
        <v>17</v>
      </c>
      <c r="J880">
        <v>2</v>
      </c>
      <c r="K880" s="1" t="s">
        <v>25</v>
      </c>
      <c r="L880" s="1" t="s">
        <v>30</v>
      </c>
      <c r="M880">
        <v>54</v>
      </c>
      <c r="N880" s="1" t="str" cm="1">
        <f t="array" ref="N880">_xlfn.IFS(M880&lt;40, " Adult", M880&lt;60, "Middle Age", M880&gt;=60, "Older Adult")</f>
        <v>Middle Age</v>
      </c>
      <c r="O880" s="1" t="s">
        <v>14</v>
      </c>
      <c r="P880" s="1">
        <f>IF(O880="Yes", 1)</f>
        <v>1</v>
      </c>
      <c r="Q880" s="1"/>
    </row>
    <row r="881" spans="1:17" x14ac:dyDescent="0.25">
      <c r="A881">
        <v>15862</v>
      </c>
      <c r="B881" s="1" t="s">
        <v>34</v>
      </c>
      <c r="C881" s="1" t="s">
        <v>33</v>
      </c>
      <c r="D881" s="2">
        <v>50000</v>
      </c>
      <c r="E881" s="2" t="str">
        <f>IF(bike_buyers[[#This Row],[Income]]&lt;40000,"Under 40K", IF(bike_buyers[[#This Row],[Income]]&lt;60000,"40K-59K", IF(bike_buyers[[#This Row],[Income]]&lt;80000,"60K-79K", IF(bike_buyers[[#This Row],[Income]]&lt;100000,"80K-99K","100K+"))))</f>
        <v>40K-59K</v>
      </c>
      <c r="F881">
        <v>0</v>
      </c>
      <c r="G881" s="1" t="s">
        <v>29</v>
      </c>
      <c r="H881" s="1" t="s">
        <v>13</v>
      </c>
      <c r="I881" s="1" t="s">
        <v>14</v>
      </c>
      <c r="J881">
        <v>0</v>
      </c>
      <c r="K881" s="1" t="s">
        <v>25</v>
      </c>
      <c r="L881" s="1" t="s">
        <v>30</v>
      </c>
      <c r="M881">
        <v>33</v>
      </c>
      <c r="N881" s="1" t="str" cm="1">
        <f t="array" ref="N881">_xlfn.IFS(M881&lt;40, " Adult", M881&lt;60, "Middle Age", M881&gt;=60, "Older Adult")</f>
        <v xml:space="preserve"> Adult</v>
      </c>
      <c r="O881" s="1" t="s">
        <v>14</v>
      </c>
      <c r="P881" s="1">
        <f>IF(O881="Yes", 1)</f>
        <v>1</v>
      </c>
      <c r="Q881" s="1"/>
    </row>
    <row r="882" spans="1:17" x14ac:dyDescent="0.25">
      <c r="A882">
        <v>26495</v>
      </c>
      <c r="B882" s="1" t="s">
        <v>34</v>
      </c>
      <c r="C882" s="1" t="s">
        <v>33</v>
      </c>
      <c r="D882" s="2">
        <v>40000</v>
      </c>
      <c r="E882" s="2" t="str">
        <f>IF(bike_buyers[[#This Row],[Income]]&lt;40000,"Under 40K", IF(bike_buyers[[#This Row],[Income]]&lt;60000,"40K-59K", IF(bike_buyers[[#This Row],[Income]]&lt;80000,"60K-79K", IF(bike_buyers[[#This Row],[Income]]&lt;100000,"80K-99K","100K+"))))</f>
        <v>40K-59K</v>
      </c>
      <c r="F882">
        <v>2</v>
      </c>
      <c r="G882" s="1" t="s">
        <v>26</v>
      </c>
      <c r="H882" s="1" t="s">
        <v>20</v>
      </c>
      <c r="I882" s="1" t="s">
        <v>14</v>
      </c>
      <c r="J882">
        <v>2</v>
      </c>
      <c r="K882" s="1" t="s">
        <v>62</v>
      </c>
      <c r="L882" s="1" t="s">
        <v>30</v>
      </c>
      <c r="M882">
        <v>57</v>
      </c>
      <c r="N882" s="1" t="str" cm="1">
        <f t="array" ref="N882">_xlfn.IFS(M882&lt;40, " Adult", M882&lt;60, "Middle Age", M882&gt;=60, "Older Adult")</f>
        <v>Middle Age</v>
      </c>
      <c r="O882" s="1" t="s">
        <v>17</v>
      </c>
      <c r="P882" s="1" t="b">
        <f>IF(O882="Yes", 1)</f>
        <v>0</v>
      </c>
      <c r="Q882" s="1"/>
    </row>
    <row r="883" spans="1:17" x14ac:dyDescent="0.25">
      <c r="A883">
        <v>14914</v>
      </c>
      <c r="B883" s="1" t="s">
        <v>31</v>
      </c>
      <c r="C883" s="1" t="s">
        <v>33</v>
      </c>
      <c r="D883" s="2">
        <v>40000</v>
      </c>
      <c r="E883" s="2" t="str">
        <f>IF(bike_buyers[[#This Row],[Income]]&lt;40000,"Under 40K", IF(bike_buyers[[#This Row],[Income]]&lt;60000,"40K-59K", IF(bike_buyers[[#This Row],[Income]]&lt;80000,"60K-79K", IF(bike_buyers[[#This Row],[Income]]&lt;100000,"80K-99K","100K+"))))</f>
        <v>40K-59K</v>
      </c>
      <c r="F883">
        <v>1</v>
      </c>
      <c r="G883" s="1" t="s">
        <v>18</v>
      </c>
      <c r="H883" s="1" t="s">
        <v>19</v>
      </c>
      <c r="I883" s="1" t="s">
        <v>14</v>
      </c>
      <c r="J883">
        <v>1</v>
      </c>
      <c r="K883" s="1" t="s">
        <v>25</v>
      </c>
      <c r="L883" s="1" t="s">
        <v>30</v>
      </c>
      <c r="M883">
        <v>49</v>
      </c>
      <c r="N883" s="1" t="str" cm="1">
        <f t="array" ref="N883">_xlfn.IFS(M883&lt;40, " Adult", M883&lt;60, "Middle Age", M883&gt;=60, "Older Adult")</f>
        <v>Middle Age</v>
      </c>
      <c r="O883" s="1" t="s">
        <v>14</v>
      </c>
      <c r="P883" s="1">
        <f>IF(O883="Yes", 1)</f>
        <v>1</v>
      </c>
      <c r="Q883" s="1"/>
    </row>
    <row r="884" spans="1:17" x14ac:dyDescent="0.25">
      <c r="A884">
        <v>12033</v>
      </c>
      <c r="B884" s="1" t="s">
        <v>34</v>
      </c>
      <c r="C884" s="1" t="s">
        <v>33</v>
      </c>
      <c r="D884" s="2">
        <v>40000</v>
      </c>
      <c r="E884" s="2" t="str">
        <f>IF(bike_buyers[[#This Row],[Income]]&lt;40000,"Under 40K", IF(bike_buyers[[#This Row],[Income]]&lt;60000,"40K-59K", IF(bike_buyers[[#This Row],[Income]]&lt;80000,"60K-79K", IF(bike_buyers[[#This Row],[Income]]&lt;100000,"80K-99K","100K+"))))</f>
        <v>40K-59K</v>
      </c>
      <c r="F884">
        <v>0</v>
      </c>
      <c r="G884" s="1" t="s">
        <v>26</v>
      </c>
      <c r="H884" s="1" t="s">
        <v>13</v>
      </c>
      <c r="I884" s="1" t="s">
        <v>17</v>
      </c>
      <c r="J884">
        <v>2</v>
      </c>
      <c r="K884" s="1" t="s">
        <v>15</v>
      </c>
      <c r="L884" s="1" t="s">
        <v>30</v>
      </c>
      <c r="M884">
        <v>27</v>
      </c>
      <c r="N884" s="1" t="str" cm="1">
        <f t="array" ref="N884">_xlfn.IFS(M884&lt;40, " Adult", M884&lt;60, "Middle Age", M884&gt;=60, "Older Adult")</f>
        <v xml:space="preserve"> Adult</v>
      </c>
      <c r="O884" s="1" t="s">
        <v>14</v>
      </c>
      <c r="P884" s="1">
        <f>IF(O884="Yes", 1)</f>
        <v>1</v>
      </c>
      <c r="Q884" s="1"/>
    </row>
    <row r="885" spans="1:17" x14ac:dyDescent="0.25">
      <c r="A885">
        <v>27740</v>
      </c>
      <c r="B885" s="1" t="s">
        <v>31</v>
      </c>
      <c r="C885" s="1" t="s">
        <v>33</v>
      </c>
      <c r="D885" s="2">
        <v>40000</v>
      </c>
      <c r="E885" s="2" t="str">
        <f>IF(bike_buyers[[#This Row],[Income]]&lt;40000,"Under 40K", IF(bike_buyers[[#This Row],[Income]]&lt;60000,"40K-59K", IF(bike_buyers[[#This Row],[Income]]&lt;80000,"60K-79K", IF(bike_buyers[[#This Row],[Income]]&lt;100000,"80K-99K","100K+"))))</f>
        <v>40K-59K</v>
      </c>
      <c r="F885">
        <v>0</v>
      </c>
      <c r="G885" s="1" t="s">
        <v>26</v>
      </c>
      <c r="H885" s="1" t="s">
        <v>13</v>
      </c>
      <c r="I885" s="1" t="s">
        <v>14</v>
      </c>
      <c r="J885">
        <v>2</v>
      </c>
      <c r="K885" s="1" t="s">
        <v>22</v>
      </c>
      <c r="L885" s="1" t="s">
        <v>30</v>
      </c>
      <c r="M885">
        <v>27</v>
      </c>
      <c r="N885" s="1" t="str" cm="1">
        <f t="array" ref="N885">_xlfn.IFS(M885&lt;40, " Adult", M885&lt;60, "Middle Age", M885&gt;=60, "Older Adult")</f>
        <v xml:space="preserve"> Adult</v>
      </c>
      <c r="O885" s="1" t="s">
        <v>17</v>
      </c>
      <c r="P885" s="1" t="b">
        <f>IF(O885="Yes", 1)</f>
        <v>0</v>
      </c>
      <c r="Q885" s="1"/>
    </row>
    <row r="886" spans="1:17" x14ac:dyDescent="0.25">
      <c r="A886">
        <v>23513</v>
      </c>
      <c r="B886" s="1" t="s">
        <v>31</v>
      </c>
      <c r="C886" s="1" t="s">
        <v>33</v>
      </c>
      <c r="D886" s="2">
        <v>40000</v>
      </c>
      <c r="E886" s="2" t="str">
        <f>IF(bike_buyers[[#This Row],[Income]]&lt;40000,"Under 40K", IF(bike_buyers[[#This Row],[Income]]&lt;60000,"40K-59K", IF(bike_buyers[[#This Row],[Income]]&lt;80000,"60K-79K", IF(bike_buyers[[#This Row],[Income]]&lt;100000,"80K-99K","100K+"))))</f>
        <v>40K-59K</v>
      </c>
      <c r="F886">
        <v>3</v>
      </c>
      <c r="G886" s="1" t="s">
        <v>18</v>
      </c>
      <c r="H886" s="1" t="s">
        <v>20</v>
      </c>
      <c r="I886" s="1" t="s">
        <v>14</v>
      </c>
      <c r="J886">
        <v>2</v>
      </c>
      <c r="K886" s="1" t="s">
        <v>22</v>
      </c>
      <c r="L886" s="1" t="s">
        <v>30</v>
      </c>
      <c r="M886">
        <v>54</v>
      </c>
      <c r="N886" s="1" t="str" cm="1">
        <f t="array" ref="N886">_xlfn.IFS(M886&lt;40, " Adult", M886&lt;60, "Middle Age", M886&gt;=60, "Older Adult")</f>
        <v>Middle Age</v>
      </c>
      <c r="O886" s="1" t="s">
        <v>17</v>
      </c>
      <c r="P886" s="1" t="b">
        <f>IF(O886="Yes", 1)</f>
        <v>0</v>
      </c>
      <c r="Q886" s="1"/>
    </row>
    <row r="887" spans="1:17" x14ac:dyDescent="0.25">
      <c r="A887">
        <v>26298</v>
      </c>
      <c r="B887" s="1" t="s">
        <v>31</v>
      </c>
      <c r="C887" s="1" t="s">
        <v>33</v>
      </c>
      <c r="D887" s="2">
        <v>50000</v>
      </c>
      <c r="E887" s="2" t="str">
        <f>IF(bike_buyers[[#This Row],[Income]]&lt;40000,"Under 40K", IF(bike_buyers[[#This Row],[Income]]&lt;60000,"40K-59K", IF(bike_buyers[[#This Row],[Income]]&lt;80000,"60K-79K", IF(bike_buyers[[#This Row],[Income]]&lt;100000,"80K-99K","100K+"))))</f>
        <v>40K-59K</v>
      </c>
      <c r="F887">
        <v>1</v>
      </c>
      <c r="G887" s="1" t="s">
        <v>12</v>
      </c>
      <c r="H887" s="1" t="s">
        <v>13</v>
      </c>
      <c r="I887" s="1" t="s">
        <v>14</v>
      </c>
      <c r="J887">
        <v>0</v>
      </c>
      <c r="K887" s="1" t="s">
        <v>21</v>
      </c>
      <c r="L887" s="1" t="s">
        <v>30</v>
      </c>
      <c r="M887">
        <v>34</v>
      </c>
      <c r="N887" s="1" t="str" cm="1">
        <f t="array" ref="N887">_xlfn.IFS(M887&lt;40, " Adult", M887&lt;60, "Middle Age", M887&gt;=60, "Older Adult")</f>
        <v xml:space="preserve"> Adult</v>
      </c>
      <c r="O887" s="1" t="s">
        <v>14</v>
      </c>
      <c r="P887" s="1">
        <f>IF(O887="Yes", 1)</f>
        <v>1</v>
      </c>
      <c r="Q887" s="1"/>
    </row>
    <row r="888" spans="1:17" x14ac:dyDescent="0.25">
      <c r="A888">
        <v>25419</v>
      </c>
      <c r="B888" s="1" t="s">
        <v>34</v>
      </c>
      <c r="C888" s="1" t="s">
        <v>32</v>
      </c>
      <c r="D888" s="2">
        <v>50000</v>
      </c>
      <c r="E888" s="2" t="str">
        <f>IF(bike_buyers[[#This Row],[Income]]&lt;40000,"Under 40K", IF(bike_buyers[[#This Row],[Income]]&lt;60000,"40K-59K", IF(bike_buyers[[#This Row],[Income]]&lt;80000,"60K-79K", IF(bike_buyers[[#This Row],[Income]]&lt;100000,"80K-99K","100K+"))))</f>
        <v>40K-59K</v>
      </c>
      <c r="F888">
        <v>2</v>
      </c>
      <c r="G888" s="1" t="s">
        <v>12</v>
      </c>
      <c r="H888" s="1" t="s">
        <v>13</v>
      </c>
      <c r="I888" s="1" t="s">
        <v>17</v>
      </c>
      <c r="J888">
        <v>1</v>
      </c>
      <c r="K888" s="1" t="s">
        <v>15</v>
      </c>
      <c r="L888" s="1" t="s">
        <v>30</v>
      </c>
      <c r="M888">
        <v>38</v>
      </c>
      <c r="N888" s="1" t="str" cm="1">
        <f t="array" ref="N888">_xlfn.IFS(M888&lt;40, " Adult", M888&lt;60, "Middle Age", M888&gt;=60, "Older Adult")</f>
        <v xml:space="preserve"> Adult</v>
      </c>
      <c r="O888" s="1" t="s">
        <v>14</v>
      </c>
      <c r="P888" s="1">
        <f>IF(O888="Yes", 1)</f>
        <v>1</v>
      </c>
      <c r="Q888" s="1"/>
    </row>
    <row r="889" spans="1:17" x14ac:dyDescent="0.25">
      <c r="A889">
        <v>17654</v>
      </c>
      <c r="B889" s="1" t="s">
        <v>34</v>
      </c>
      <c r="C889" s="1" t="s">
        <v>33</v>
      </c>
      <c r="D889" s="2">
        <v>40000</v>
      </c>
      <c r="E889" s="2" t="str">
        <f>IF(bike_buyers[[#This Row],[Income]]&lt;40000,"Under 40K", IF(bike_buyers[[#This Row],[Income]]&lt;60000,"40K-59K", IF(bike_buyers[[#This Row],[Income]]&lt;80000,"60K-79K", IF(bike_buyers[[#This Row],[Income]]&lt;100000,"80K-99K","100K+"))))</f>
        <v>40K-59K</v>
      </c>
      <c r="F889">
        <v>3</v>
      </c>
      <c r="G889" s="1" t="s">
        <v>18</v>
      </c>
      <c r="H889" s="1" t="s">
        <v>19</v>
      </c>
      <c r="I889" s="1" t="s">
        <v>14</v>
      </c>
      <c r="J889">
        <v>1</v>
      </c>
      <c r="K889" s="1" t="s">
        <v>25</v>
      </c>
      <c r="L889" s="1" t="s">
        <v>30</v>
      </c>
      <c r="M889">
        <v>30</v>
      </c>
      <c r="N889" s="1" t="str" cm="1">
        <f t="array" ref="N889">_xlfn.IFS(M889&lt;40, " Adult", M889&lt;60, "Middle Age", M889&gt;=60, "Older Adult")</f>
        <v xml:space="preserve"> Adult</v>
      </c>
      <c r="O889" s="1" t="s">
        <v>14</v>
      </c>
      <c r="P889" s="1">
        <f>IF(O889="Yes", 1)</f>
        <v>1</v>
      </c>
      <c r="Q889" s="1"/>
    </row>
    <row r="890" spans="1:17" x14ac:dyDescent="0.25">
      <c r="A890">
        <v>17541</v>
      </c>
      <c r="B890" s="1" t="s">
        <v>31</v>
      </c>
      <c r="C890" s="1" t="s">
        <v>33</v>
      </c>
      <c r="D890" s="2">
        <v>40000</v>
      </c>
      <c r="E890" s="2" t="str">
        <f>IF(bike_buyers[[#This Row],[Income]]&lt;40000,"Under 40K", IF(bike_buyers[[#This Row],[Income]]&lt;60000,"40K-59K", IF(bike_buyers[[#This Row],[Income]]&lt;80000,"60K-79K", IF(bike_buyers[[#This Row],[Income]]&lt;100000,"80K-99K","100K+"))))</f>
        <v>40K-59K</v>
      </c>
      <c r="F890">
        <v>4</v>
      </c>
      <c r="G890" s="1" t="s">
        <v>26</v>
      </c>
      <c r="H890" s="1" t="s">
        <v>13</v>
      </c>
      <c r="I890" s="1" t="s">
        <v>14</v>
      </c>
      <c r="J890">
        <v>2</v>
      </c>
      <c r="K890" s="1" t="s">
        <v>21</v>
      </c>
      <c r="L890" s="1" t="s">
        <v>30</v>
      </c>
      <c r="M890">
        <v>43</v>
      </c>
      <c r="N890" s="1" t="str" cm="1">
        <f t="array" ref="N890">_xlfn.IFS(M890&lt;40, " Adult", M890&lt;60, "Middle Age", M890&gt;=60, "Older Adult")</f>
        <v>Middle Age</v>
      </c>
      <c r="O890" s="1" t="s">
        <v>17</v>
      </c>
      <c r="P890" s="1" t="b">
        <f>IF(O890="Yes", 1)</f>
        <v>0</v>
      </c>
      <c r="Q890" s="1"/>
    </row>
    <row r="891" spans="1:17" x14ac:dyDescent="0.25">
      <c r="A891">
        <v>27756</v>
      </c>
      <c r="B891" s="1" t="s">
        <v>34</v>
      </c>
      <c r="C891" s="1" t="s">
        <v>33</v>
      </c>
      <c r="D891" s="2">
        <v>50000</v>
      </c>
      <c r="E891" s="2" t="str">
        <f>IF(bike_buyers[[#This Row],[Income]]&lt;40000,"Under 40K", IF(bike_buyers[[#This Row],[Income]]&lt;60000,"40K-59K", IF(bike_buyers[[#This Row],[Income]]&lt;80000,"60K-79K", IF(bike_buyers[[#This Row],[Income]]&lt;100000,"80K-99K","100K+"))))</f>
        <v>40K-59K</v>
      </c>
      <c r="F891">
        <v>3</v>
      </c>
      <c r="G891" s="1" t="s">
        <v>12</v>
      </c>
      <c r="H891" s="1" t="s">
        <v>13</v>
      </c>
      <c r="I891" s="1" t="s">
        <v>17</v>
      </c>
      <c r="J891">
        <v>1</v>
      </c>
      <c r="K891" s="1" t="s">
        <v>15</v>
      </c>
      <c r="L891" s="1" t="s">
        <v>30</v>
      </c>
      <c r="M891">
        <v>40</v>
      </c>
      <c r="N891" s="1" t="str" cm="1">
        <f t="array" ref="N891">_xlfn.IFS(M891&lt;40, " Adult", M891&lt;60, "Middle Age", M891&gt;=60, "Older Adult")</f>
        <v>Middle Age</v>
      </c>
      <c r="O891" s="1" t="s">
        <v>17</v>
      </c>
      <c r="P891" s="1" t="b">
        <f>IF(O891="Yes", 1)</f>
        <v>0</v>
      </c>
      <c r="Q891" s="1"/>
    </row>
    <row r="892" spans="1:17" x14ac:dyDescent="0.25">
      <c r="A892">
        <v>23818</v>
      </c>
      <c r="B892" s="1" t="s">
        <v>31</v>
      </c>
      <c r="C892" s="1" t="s">
        <v>33</v>
      </c>
      <c r="D892" s="2">
        <v>50000</v>
      </c>
      <c r="E892" s="2" t="str">
        <f>IF(bike_buyers[[#This Row],[Income]]&lt;40000,"Under 40K", IF(bike_buyers[[#This Row],[Income]]&lt;60000,"40K-59K", IF(bike_buyers[[#This Row],[Income]]&lt;80000,"60K-79K", IF(bike_buyers[[#This Row],[Income]]&lt;100000,"80K-99K","100K+"))))</f>
        <v>40K-59K</v>
      </c>
      <c r="F892">
        <v>0</v>
      </c>
      <c r="G892" s="1" t="s">
        <v>29</v>
      </c>
      <c r="H892" s="1" t="s">
        <v>13</v>
      </c>
      <c r="I892" s="1" t="s">
        <v>14</v>
      </c>
      <c r="J892">
        <v>0</v>
      </c>
      <c r="K892" s="1" t="s">
        <v>25</v>
      </c>
      <c r="L892" s="1" t="s">
        <v>30</v>
      </c>
      <c r="M892">
        <v>33</v>
      </c>
      <c r="N892" s="1" t="str" cm="1">
        <f t="array" ref="N892">_xlfn.IFS(M892&lt;40, " Adult", M892&lt;60, "Middle Age", M892&gt;=60, "Older Adult")</f>
        <v xml:space="preserve"> Adult</v>
      </c>
      <c r="O892" s="1" t="s">
        <v>14</v>
      </c>
      <c r="P892" s="1">
        <f>IF(O892="Yes", 1)</f>
        <v>1</v>
      </c>
      <c r="Q892" s="1"/>
    </row>
    <row r="893" spans="1:17" x14ac:dyDescent="0.25">
      <c r="A893">
        <v>17337</v>
      </c>
      <c r="B893" s="1" t="s">
        <v>34</v>
      </c>
      <c r="C893" s="1" t="s">
        <v>32</v>
      </c>
      <c r="D893" s="2">
        <v>40000</v>
      </c>
      <c r="E893" s="2" t="str">
        <f>IF(bike_buyers[[#This Row],[Income]]&lt;40000,"Under 40K", IF(bike_buyers[[#This Row],[Income]]&lt;60000,"40K-59K", IF(bike_buyers[[#This Row],[Income]]&lt;80000,"60K-79K", IF(bike_buyers[[#This Row],[Income]]&lt;100000,"80K-99K","100K+"))))</f>
        <v>40K-59K</v>
      </c>
      <c r="F893">
        <v>0</v>
      </c>
      <c r="G893" s="1" t="s">
        <v>26</v>
      </c>
      <c r="H893" s="1" t="s">
        <v>13</v>
      </c>
      <c r="I893" s="1" t="s">
        <v>14</v>
      </c>
      <c r="J893">
        <v>1</v>
      </c>
      <c r="K893" s="1" t="s">
        <v>22</v>
      </c>
      <c r="L893" s="1" t="s">
        <v>30</v>
      </c>
      <c r="M893">
        <v>31</v>
      </c>
      <c r="N893" s="1" t="str" cm="1">
        <f t="array" ref="N893">_xlfn.IFS(M893&lt;40, " Adult", M893&lt;60, "Middle Age", M893&gt;=60, "Older Adult")</f>
        <v xml:space="preserve"> Adult</v>
      </c>
      <c r="O893" s="1" t="s">
        <v>17</v>
      </c>
      <c r="P893" s="1" t="b">
        <f>IF(O893="Yes", 1)</f>
        <v>0</v>
      </c>
      <c r="Q893" s="1"/>
    </row>
    <row r="894" spans="1:17" x14ac:dyDescent="0.25">
      <c r="A894">
        <v>28625</v>
      </c>
      <c r="B894" s="1" t="s">
        <v>34</v>
      </c>
      <c r="C894" s="1" t="s">
        <v>32</v>
      </c>
      <c r="D894" s="2">
        <v>40000</v>
      </c>
      <c r="E894" s="2" t="str">
        <f>IF(bike_buyers[[#This Row],[Income]]&lt;40000,"Under 40K", IF(bike_buyers[[#This Row],[Income]]&lt;60000,"40K-59K", IF(bike_buyers[[#This Row],[Income]]&lt;80000,"60K-79K", IF(bike_buyers[[#This Row],[Income]]&lt;100000,"80K-99K","100K+"))))</f>
        <v>40K-59K</v>
      </c>
      <c r="F894">
        <v>2</v>
      </c>
      <c r="G894" s="1" t="s">
        <v>18</v>
      </c>
      <c r="H894" s="1" t="s">
        <v>19</v>
      </c>
      <c r="I894" s="1" t="s">
        <v>17</v>
      </c>
      <c r="J894">
        <v>1</v>
      </c>
      <c r="K894" s="1" t="s">
        <v>25</v>
      </c>
      <c r="L894" s="1" t="s">
        <v>30</v>
      </c>
      <c r="M894">
        <v>47</v>
      </c>
      <c r="N894" s="1" t="str" cm="1">
        <f t="array" ref="N894">_xlfn.IFS(M894&lt;40, " Adult", M894&lt;60, "Middle Age", M894&gt;=60, "Older Adult")</f>
        <v>Middle Age</v>
      </c>
      <c r="O894" s="1" t="s">
        <v>14</v>
      </c>
      <c r="P894" s="1">
        <f>IF(O894="Yes", 1)</f>
        <v>1</v>
      </c>
      <c r="Q894" s="1"/>
    </row>
    <row r="895" spans="1:17" x14ac:dyDescent="0.25">
      <c r="A895">
        <v>13920</v>
      </c>
      <c r="B895" s="1" t="s">
        <v>34</v>
      </c>
      <c r="C895" s="1" t="s">
        <v>33</v>
      </c>
      <c r="D895" s="2">
        <v>50000</v>
      </c>
      <c r="E895" s="2" t="str">
        <f>IF(bike_buyers[[#This Row],[Income]]&lt;40000,"Under 40K", IF(bike_buyers[[#This Row],[Income]]&lt;60000,"40K-59K", IF(bike_buyers[[#This Row],[Income]]&lt;80000,"60K-79K", IF(bike_buyers[[#This Row],[Income]]&lt;100000,"80K-99K","100K+"))))</f>
        <v>40K-59K</v>
      </c>
      <c r="F895">
        <v>4</v>
      </c>
      <c r="G895" s="1" t="s">
        <v>12</v>
      </c>
      <c r="H895" s="1" t="s">
        <v>13</v>
      </c>
      <c r="I895" s="1" t="s">
        <v>14</v>
      </c>
      <c r="J895">
        <v>2</v>
      </c>
      <c r="K895" s="1" t="s">
        <v>15</v>
      </c>
      <c r="L895" s="1" t="s">
        <v>30</v>
      </c>
      <c r="M895">
        <v>42</v>
      </c>
      <c r="N895" s="1" t="str" cm="1">
        <f t="array" ref="N895">_xlfn.IFS(M895&lt;40, " Adult", M895&lt;60, "Middle Age", M895&gt;=60, "Older Adult")</f>
        <v>Middle Age</v>
      </c>
      <c r="O895" s="1" t="s">
        <v>17</v>
      </c>
      <c r="P895" s="1" t="b">
        <f>IF(O895="Yes", 1)</f>
        <v>0</v>
      </c>
      <c r="Q895" s="1"/>
    </row>
    <row r="896" spans="1:17" x14ac:dyDescent="0.25">
      <c r="A896">
        <v>23704</v>
      </c>
      <c r="B896" s="1" t="s">
        <v>34</v>
      </c>
      <c r="C896" s="1" t="s">
        <v>32</v>
      </c>
      <c r="D896" s="2">
        <v>40000</v>
      </c>
      <c r="E896" s="2" t="str">
        <f>IF(bike_buyers[[#This Row],[Income]]&lt;40000,"Under 40K", IF(bike_buyers[[#This Row],[Income]]&lt;60000,"40K-59K", IF(bike_buyers[[#This Row],[Income]]&lt;80000,"60K-79K", IF(bike_buyers[[#This Row],[Income]]&lt;100000,"80K-99K","100K+"))))</f>
        <v>40K-59K</v>
      </c>
      <c r="F896">
        <v>5</v>
      </c>
      <c r="G896" s="1" t="s">
        <v>26</v>
      </c>
      <c r="H896" s="1" t="s">
        <v>20</v>
      </c>
      <c r="I896" s="1" t="s">
        <v>14</v>
      </c>
      <c r="J896">
        <v>4</v>
      </c>
      <c r="K896" s="1" t="s">
        <v>62</v>
      </c>
      <c r="L896" s="1" t="s">
        <v>30</v>
      </c>
      <c r="M896">
        <v>60</v>
      </c>
      <c r="N896" s="1" t="str" cm="1">
        <f t="array" ref="N896">_xlfn.IFS(M896&lt;40, " Adult", M896&lt;60, "Middle Age", M896&gt;=60, "Older Adult")</f>
        <v>Older Adult</v>
      </c>
      <c r="O896" s="1" t="s">
        <v>14</v>
      </c>
      <c r="P896" s="1">
        <f>IF(O896="Yes", 1)</f>
        <v>1</v>
      </c>
      <c r="Q896" s="1"/>
    </row>
    <row r="897" spans="1:17" x14ac:dyDescent="0.25">
      <c r="A897">
        <v>27974</v>
      </c>
      <c r="B897" s="1" t="s">
        <v>34</v>
      </c>
      <c r="C897" s="1" t="s">
        <v>32</v>
      </c>
      <c r="D897" s="2">
        <v>160000</v>
      </c>
      <c r="E897" s="2" t="str">
        <f>IF(bike_buyers[[#This Row],[Income]]&lt;40000,"Under 40K", IF(bike_buyers[[#This Row],[Income]]&lt;60000,"40K-59K", IF(bike_buyers[[#This Row],[Income]]&lt;80000,"60K-79K", IF(bike_buyers[[#This Row],[Income]]&lt;100000,"80K-99K","100K+"))))</f>
        <v>100K+</v>
      </c>
      <c r="F897">
        <v>2</v>
      </c>
      <c r="G897" s="1" t="s">
        <v>26</v>
      </c>
      <c r="H897" s="1" t="s">
        <v>27</v>
      </c>
      <c r="I897" s="1" t="s">
        <v>14</v>
      </c>
      <c r="J897">
        <v>4</v>
      </c>
      <c r="K897" s="1" t="s">
        <v>15</v>
      </c>
      <c r="L897" s="1" t="s">
        <v>23</v>
      </c>
      <c r="M897">
        <v>33</v>
      </c>
      <c r="N897" s="1" t="str" cm="1">
        <f t="array" ref="N897">_xlfn.IFS(M897&lt;40, " Adult", M897&lt;60, "Middle Age", M897&gt;=60, "Older Adult")</f>
        <v xml:space="preserve"> Adult</v>
      </c>
      <c r="O897" s="1" t="s">
        <v>14</v>
      </c>
      <c r="P897" s="1">
        <f>IF(O897="Yes", 1)</f>
        <v>1</v>
      </c>
      <c r="Q897" s="1"/>
    </row>
    <row r="898" spans="1:17" x14ac:dyDescent="0.25">
      <c r="A898">
        <v>19280</v>
      </c>
      <c r="B898" s="1" t="s">
        <v>31</v>
      </c>
      <c r="C898" s="1" t="s">
        <v>32</v>
      </c>
      <c r="D898" s="2">
        <v>120000</v>
      </c>
      <c r="E898" s="2" t="str">
        <f>IF(bike_buyers[[#This Row],[Income]]&lt;40000,"Under 40K", IF(bike_buyers[[#This Row],[Income]]&lt;60000,"40K-59K", IF(bike_buyers[[#This Row],[Income]]&lt;80000,"60K-79K", IF(bike_buyers[[#This Row],[Income]]&lt;100000,"80K-99K","100K+"))))</f>
        <v>100K+</v>
      </c>
      <c r="F898">
        <v>2</v>
      </c>
      <c r="G898" s="1" t="s">
        <v>18</v>
      </c>
      <c r="H898" s="1" t="s">
        <v>24</v>
      </c>
      <c r="I898" s="1" t="s">
        <v>14</v>
      </c>
      <c r="J898">
        <v>1</v>
      </c>
      <c r="K898" s="1" t="s">
        <v>15</v>
      </c>
      <c r="L898" s="1" t="s">
        <v>16</v>
      </c>
      <c r="M898">
        <v>40</v>
      </c>
      <c r="N898" s="1" t="str" cm="1">
        <f t="array" ref="N898">_xlfn.IFS(M898&lt;40, " Adult", M898&lt;60, "Middle Age", M898&gt;=60, "Older Adult")</f>
        <v>Middle Age</v>
      </c>
      <c r="O898" s="1" t="s">
        <v>14</v>
      </c>
      <c r="P898" s="1">
        <f>IF(O898="Yes", 1)</f>
        <v>1</v>
      </c>
      <c r="Q898" s="1"/>
    </row>
    <row r="899" spans="1:17" x14ac:dyDescent="0.25">
      <c r="A899">
        <v>11434</v>
      </c>
      <c r="B899" s="1" t="s">
        <v>31</v>
      </c>
      <c r="C899" s="1" t="s">
        <v>32</v>
      </c>
      <c r="D899" s="2">
        <v>170000</v>
      </c>
      <c r="E899" s="2" t="str">
        <f>IF(bike_buyers[[#This Row],[Income]]&lt;40000,"Under 40K", IF(bike_buyers[[#This Row],[Income]]&lt;60000,"40K-59K", IF(bike_buyers[[#This Row],[Income]]&lt;80000,"60K-79K", IF(bike_buyers[[#This Row],[Income]]&lt;100000,"80K-99K","100K+"))))</f>
        <v>100K+</v>
      </c>
      <c r="F899">
        <v>5</v>
      </c>
      <c r="G899" s="1" t="s">
        <v>18</v>
      </c>
      <c r="H899" s="1" t="s">
        <v>20</v>
      </c>
      <c r="I899" s="1" t="s">
        <v>14</v>
      </c>
      <c r="J899">
        <v>0</v>
      </c>
      <c r="K899" s="1" t="s">
        <v>15</v>
      </c>
      <c r="L899" s="1" t="s">
        <v>16</v>
      </c>
      <c r="M899">
        <v>55</v>
      </c>
      <c r="N899" s="1" t="str" cm="1">
        <f t="array" ref="N899">_xlfn.IFS(M899&lt;40, " Adult", M899&lt;60, "Middle Age", M899&gt;=60, "Older Adult")</f>
        <v>Middle Age</v>
      </c>
      <c r="O899" s="1" t="s">
        <v>17</v>
      </c>
      <c r="P899" s="1" t="b">
        <f>IF(O899="Yes", 1)</f>
        <v>0</v>
      </c>
      <c r="Q899" s="1"/>
    </row>
    <row r="900" spans="1:17" x14ac:dyDescent="0.25">
      <c r="A900">
        <v>18283</v>
      </c>
      <c r="B900" s="1" t="s">
        <v>34</v>
      </c>
      <c r="C900" s="1" t="s">
        <v>33</v>
      </c>
      <c r="D900" s="2">
        <v>100000</v>
      </c>
      <c r="E900" s="2" t="str">
        <f>IF(bike_buyers[[#This Row],[Income]]&lt;40000,"Under 40K", IF(bike_buyers[[#This Row],[Income]]&lt;60000,"40K-59K", IF(bike_buyers[[#This Row],[Income]]&lt;80000,"60K-79K", IF(bike_buyers[[#This Row],[Income]]&lt;100000,"80K-99K","100K+"))))</f>
        <v>100K+</v>
      </c>
      <c r="F900">
        <v>0</v>
      </c>
      <c r="G900" s="1" t="s">
        <v>12</v>
      </c>
      <c r="H900" s="1" t="s">
        <v>20</v>
      </c>
      <c r="I900" s="1" t="s">
        <v>17</v>
      </c>
      <c r="J900">
        <v>1</v>
      </c>
      <c r="K900" s="1" t="s">
        <v>22</v>
      </c>
      <c r="L900" s="1" t="s">
        <v>23</v>
      </c>
      <c r="M900">
        <v>40</v>
      </c>
      <c r="N900" s="1" t="str" cm="1">
        <f t="array" ref="N900">_xlfn.IFS(M900&lt;40, " Adult", M900&lt;60, "Middle Age", M900&gt;=60, "Older Adult")</f>
        <v>Middle Age</v>
      </c>
      <c r="O900" s="1" t="s">
        <v>17</v>
      </c>
      <c r="P900" s="1" t="b">
        <f>IF(O900="Yes", 1)</f>
        <v>0</v>
      </c>
      <c r="Q900" s="1"/>
    </row>
    <row r="901" spans="1:17" x14ac:dyDescent="0.25">
      <c r="A901">
        <v>17185</v>
      </c>
      <c r="B901" s="1" t="s">
        <v>31</v>
      </c>
      <c r="C901" s="1" t="s">
        <v>33</v>
      </c>
      <c r="D901" s="2">
        <v>170000</v>
      </c>
      <c r="E901" s="2" t="str">
        <f>IF(bike_buyers[[#This Row],[Income]]&lt;40000,"Under 40K", IF(bike_buyers[[#This Row],[Income]]&lt;60000,"40K-59K", IF(bike_buyers[[#This Row],[Income]]&lt;80000,"60K-79K", IF(bike_buyers[[#This Row],[Income]]&lt;100000,"80K-99K","100K+"))))</f>
        <v>100K+</v>
      </c>
      <c r="F901">
        <v>4</v>
      </c>
      <c r="G901" s="1" t="s">
        <v>18</v>
      </c>
      <c r="H901" s="1" t="s">
        <v>20</v>
      </c>
      <c r="I901" s="1" t="s">
        <v>17</v>
      </c>
      <c r="J901">
        <v>3</v>
      </c>
      <c r="K901" s="1" t="s">
        <v>22</v>
      </c>
      <c r="L901" s="1" t="s">
        <v>16</v>
      </c>
      <c r="M901">
        <v>48</v>
      </c>
      <c r="N901" s="1" t="str" cm="1">
        <f t="array" ref="N901">_xlfn.IFS(M901&lt;40, " Adult", M901&lt;60, "Middle Age", M901&gt;=60, "Older Adult")</f>
        <v>Middle Age</v>
      </c>
      <c r="O901" s="1" t="s">
        <v>14</v>
      </c>
      <c r="P901" s="1">
        <f>IF(O901="Yes", 1)</f>
        <v>1</v>
      </c>
      <c r="Q901" s="1"/>
    </row>
    <row r="902" spans="1:17" x14ac:dyDescent="0.25">
      <c r="A902">
        <v>20567</v>
      </c>
      <c r="B902" s="1" t="s">
        <v>31</v>
      </c>
      <c r="C902" s="1" t="s">
        <v>32</v>
      </c>
      <c r="D902" s="2">
        <v>130000</v>
      </c>
      <c r="E902" s="2" t="str">
        <f>IF(bike_buyers[[#This Row],[Income]]&lt;40000,"Under 40K", IF(bike_buyers[[#This Row],[Income]]&lt;60000,"40K-59K", IF(bike_buyers[[#This Row],[Income]]&lt;80000,"60K-79K", IF(bike_buyers[[#This Row],[Income]]&lt;100000,"80K-99K","100K+"))))</f>
        <v>100K+</v>
      </c>
      <c r="F902">
        <v>4</v>
      </c>
      <c r="G902" s="1" t="s">
        <v>18</v>
      </c>
      <c r="H902" s="1" t="s">
        <v>20</v>
      </c>
      <c r="I902" s="1" t="s">
        <v>17</v>
      </c>
      <c r="J902">
        <v>4</v>
      </c>
      <c r="K902" s="1" t="s">
        <v>22</v>
      </c>
      <c r="L902" s="1" t="s">
        <v>16</v>
      </c>
      <c r="M902">
        <v>61</v>
      </c>
      <c r="N902" s="1" t="str" cm="1">
        <f t="array" ref="N902">_xlfn.IFS(M902&lt;40, " Adult", M902&lt;60, "Middle Age", M902&gt;=60, "Older Adult")</f>
        <v>Older Adult</v>
      </c>
      <c r="O902" s="1" t="s">
        <v>14</v>
      </c>
      <c r="P902" s="1">
        <f>IF(O902="Yes", 1)</f>
        <v>1</v>
      </c>
      <c r="Q902" s="1"/>
    </row>
    <row r="903" spans="1:17" x14ac:dyDescent="0.25">
      <c r="A903">
        <v>14238</v>
      </c>
      <c r="B903" s="1" t="s">
        <v>31</v>
      </c>
      <c r="C903" s="1" t="s">
        <v>32</v>
      </c>
      <c r="D903" s="2">
        <v>120000</v>
      </c>
      <c r="E903" s="2" t="str">
        <f>IF(bike_buyers[[#This Row],[Income]]&lt;40000,"Under 40K", IF(bike_buyers[[#This Row],[Income]]&lt;60000,"40K-59K", IF(bike_buyers[[#This Row],[Income]]&lt;80000,"60K-79K", IF(bike_buyers[[#This Row],[Income]]&lt;100000,"80K-99K","100K+"))))</f>
        <v>100K+</v>
      </c>
      <c r="F903">
        <v>0</v>
      </c>
      <c r="G903" s="1" t="s">
        <v>28</v>
      </c>
      <c r="H903" s="1" t="s">
        <v>20</v>
      </c>
      <c r="I903" s="1" t="s">
        <v>14</v>
      </c>
      <c r="J903">
        <v>4</v>
      </c>
      <c r="K903" s="1" t="s">
        <v>62</v>
      </c>
      <c r="L903" s="1" t="s">
        <v>23</v>
      </c>
      <c r="M903">
        <v>36</v>
      </c>
      <c r="N903" s="1" t="str" cm="1">
        <f t="array" ref="N903">_xlfn.IFS(M903&lt;40, " Adult", M903&lt;60, "Middle Age", M903&gt;=60, "Older Adult")</f>
        <v xml:space="preserve"> Adult</v>
      </c>
      <c r="O903" s="1" t="s">
        <v>14</v>
      </c>
      <c r="P903" s="1">
        <f>IF(O903="Yes", 1)</f>
        <v>1</v>
      </c>
      <c r="Q903" s="1"/>
    </row>
    <row r="904" spans="1:17" x14ac:dyDescent="0.25">
      <c r="A904">
        <v>24857</v>
      </c>
      <c r="B904" s="1" t="s">
        <v>31</v>
      </c>
      <c r="C904" s="1" t="s">
        <v>33</v>
      </c>
      <c r="D904" s="2">
        <v>130000</v>
      </c>
      <c r="E904" s="2" t="str">
        <f>IF(bike_buyers[[#This Row],[Income]]&lt;40000,"Under 40K", IF(bike_buyers[[#This Row],[Income]]&lt;60000,"40K-59K", IF(bike_buyers[[#This Row],[Income]]&lt;80000,"60K-79K", IF(bike_buyers[[#This Row],[Income]]&lt;100000,"80K-99K","100K+"))))</f>
        <v>100K+</v>
      </c>
      <c r="F904">
        <v>3</v>
      </c>
      <c r="G904" s="1" t="s">
        <v>26</v>
      </c>
      <c r="H904" s="1" t="s">
        <v>20</v>
      </c>
      <c r="I904" s="1" t="s">
        <v>14</v>
      </c>
      <c r="J904">
        <v>4</v>
      </c>
      <c r="K904" s="1" t="s">
        <v>15</v>
      </c>
      <c r="L904" s="1" t="s">
        <v>16</v>
      </c>
      <c r="M904">
        <v>52</v>
      </c>
      <c r="N904" s="1" t="str" cm="1">
        <f t="array" ref="N904">_xlfn.IFS(M904&lt;40, " Adult", M904&lt;60, "Middle Age", M904&gt;=60, "Older Adult")</f>
        <v>Middle Age</v>
      </c>
      <c r="O904" s="1" t="s">
        <v>17</v>
      </c>
      <c r="P904" s="1" t="b">
        <f>IF(O904="Yes", 1)</f>
        <v>0</v>
      </c>
      <c r="Q904" s="1"/>
    </row>
    <row r="905" spans="1:17" x14ac:dyDescent="0.25">
      <c r="A905">
        <v>12678</v>
      </c>
      <c r="B905" s="1" t="s">
        <v>34</v>
      </c>
      <c r="C905" s="1" t="s">
        <v>33</v>
      </c>
      <c r="D905" s="2">
        <v>130000</v>
      </c>
      <c r="E905" s="2" t="str">
        <f>IF(bike_buyers[[#This Row],[Income]]&lt;40000,"Under 40K", IF(bike_buyers[[#This Row],[Income]]&lt;60000,"40K-59K", IF(bike_buyers[[#This Row],[Income]]&lt;80000,"60K-79K", IF(bike_buyers[[#This Row],[Income]]&lt;100000,"80K-99K","100K+"))))</f>
        <v>100K+</v>
      </c>
      <c r="F905">
        <v>4</v>
      </c>
      <c r="G905" s="1" t="s">
        <v>26</v>
      </c>
      <c r="H905" s="1" t="s">
        <v>27</v>
      </c>
      <c r="I905" s="1" t="s">
        <v>14</v>
      </c>
      <c r="J905">
        <v>4</v>
      </c>
      <c r="K905" s="1" t="s">
        <v>15</v>
      </c>
      <c r="L905" s="1" t="s">
        <v>23</v>
      </c>
      <c r="M905">
        <v>31</v>
      </c>
      <c r="N905" s="1" t="str" cm="1">
        <f t="array" ref="N905">_xlfn.IFS(M905&lt;40, " Adult", M905&lt;60, "Middle Age", M905&gt;=60, "Older Adult")</f>
        <v xml:space="preserve"> Adult</v>
      </c>
      <c r="O905" s="1" t="s">
        <v>17</v>
      </c>
      <c r="P905" s="1" t="b">
        <f>IF(O905="Yes", 1)</f>
        <v>0</v>
      </c>
      <c r="Q905" s="1"/>
    </row>
    <row r="906" spans="1:17" x14ac:dyDescent="0.25">
      <c r="A906">
        <v>17191</v>
      </c>
      <c r="B906" s="1" t="s">
        <v>34</v>
      </c>
      <c r="C906" s="1" t="s">
        <v>32</v>
      </c>
      <c r="D906" s="2">
        <v>130000</v>
      </c>
      <c r="E906" s="2" t="str">
        <f>IF(bike_buyers[[#This Row],[Income]]&lt;40000,"Under 40K", IF(bike_buyers[[#This Row],[Income]]&lt;60000,"40K-59K", IF(bike_buyers[[#This Row],[Income]]&lt;80000,"60K-79K", IF(bike_buyers[[#This Row],[Income]]&lt;100000,"80K-99K","100K+"))))</f>
        <v>100K+</v>
      </c>
      <c r="F906">
        <v>3</v>
      </c>
      <c r="G906" s="1" t="s">
        <v>18</v>
      </c>
      <c r="H906" s="1" t="s">
        <v>20</v>
      </c>
      <c r="I906" s="1" t="s">
        <v>17</v>
      </c>
      <c r="J906">
        <v>3</v>
      </c>
      <c r="K906" s="1" t="s">
        <v>15</v>
      </c>
      <c r="L906" s="1" t="s">
        <v>16</v>
      </c>
      <c r="M906">
        <v>51</v>
      </c>
      <c r="N906" s="1" t="str" cm="1">
        <f t="array" ref="N906">_xlfn.IFS(M906&lt;40, " Adult", M906&lt;60, "Middle Age", M906&gt;=60, "Older Adult")</f>
        <v>Middle Age</v>
      </c>
      <c r="O906" s="1" t="s">
        <v>14</v>
      </c>
      <c r="P906" s="1">
        <f>IF(O906="Yes", 1)</f>
        <v>1</v>
      </c>
      <c r="Q906" s="1"/>
    </row>
    <row r="907" spans="1:17" x14ac:dyDescent="0.25">
      <c r="A907">
        <v>29191</v>
      </c>
      <c r="B907" s="1" t="s">
        <v>34</v>
      </c>
      <c r="C907" s="1" t="s">
        <v>33</v>
      </c>
      <c r="D907" s="2">
        <v>130000</v>
      </c>
      <c r="E907" s="2" t="str">
        <f>IF(bike_buyers[[#This Row],[Income]]&lt;40000,"Under 40K", IF(bike_buyers[[#This Row],[Income]]&lt;60000,"40K-59K", IF(bike_buyers[[#This Row],[Income]]&lt;80000,"60K-79K", IF(bike_buyers[[#This Row],[Income]]&lt;100000,"80K-99K","100K+"))))</f>
        <v>100K+</v>
      </c>
      <c r="F907">
        <v>1</v>
      </c>
      <c r="G907" s="1" t="s">
        <v>29</v>
      </c>
      <c r="H907" s="1" t="s">
        <v>27</v>
      </c>
      <c r="I907" s="1" t="s">
        <v>17</v>
      </c>
      <c r="J907">
        <v>1</v>
      </c>
      <c r="K907" s="1" t="s">
        <v>15</v>
      </c>
      <c r="L907" s="1" t="s">
        <v>23</v>
      </c>
      <c r="M907">
        <v>36</v>
      </c>
      <c r="N907" s="1" t="str" cm="1">
        <f t="array" ref="N907">_xlfn.IFS(M907&lt;40, " Adult", M907&lt;60, "Middle Age", M907&gt;=60, "Older Adult")</f>
        <v xml:space="preserve"> Adult</v>
      </c>
      <c r="O907" s="1" t="s">
        <v>14</v>
      </c>
      <c r="P907" s="1">
        <f>IF(O907="Yes", 1)</f>
        <v>1</v>
      </c>
      <c r="Q907" s="1"/>
    </row>
    <row r="908" spans="1:17" x14ac:dyDescent="0.25">
      <c r="A908">
        <v>15922</v>
      </c>
      <c r="B908" s="1" t="s">
        <v>31</v>
      </c>
      <c r="C908" s="1" t="s">
        <v>32</v>
      </c>
      <c r="D908" s="2">
        <v>150000</v>
      </c>
      <c r="E908" s="2" t="str">
        <f>IF(bike_buyers[[#This Row],[Income]]&lt;40000,"Under 40K", IF(bike_buyers[[#This Row],[Income]]&lt;60000,"40K-59K", IF(bike_buyers[[#This Row],[Income]]&lt;80000,"60K-79K", IF(bike_buyers[[#This Row],[Income]]&lt;100000,"80K-99K","100K+"))))</f>
        <v>100K+</v>
      </c>
      <c r="F908">
        <v>2</v>
      </c>
      <c r="G908" s="1" t="s">
        <v>26</v>
      </c>
      <c r="H908" s="1" t="s">
        <v>20</v>
      </c>
      <c r="I908" s="1" t="s">
        <v>14</v>
      </c>
      <c r="J908">
        <v>4</v>
      </c>
      <c r="K908" s="1" t="s">
        <v>15</v>
      </c>
      <c r="L908" s="1" t="s">
        <v>16</v>
      </c>
      <c r="M908">
        <v>48</v>
      </c>
      <c r="N908" s="1" t="str" cm="1">
        <f t="array" ref="N908">_xlfn.IFS(M908&lt;40, " Adult", M908&lt;60, "Middle Age", M908&gt;=60, "Older Adult")</f>
        <v>Middle Age</v>
      </c>
      <c r="O908" s="1" t="s">
        <v>17</v>
      </c>
      <c r="P908" s="1" t="b">
        <f>IF(O908="Yes", 1)</f>
        <v>0</v>
      </c>
      <c r="Q908" s="1"/>
    </row>
    <row r="909" spans="1:17" x14ac:dyDescent="0.25">
      <c r="A909">
        <v>23627</v>
      </c>
      <c r="B909" s="1" t="s">
        <v>34</v>
      </c>
      <c r="C909" s="1" t="s">
        <v>33</v>
      </c>
      <c r="D909" s="2">
        <v>100000</v>
      </c>
      <c r="E909" s="2" t="str">
        <f>IF(bike_buyers[[#This Row],[Income]]&lt;40000,"Under 40K", IF(bike_buyers[[#This Row],[Income]]&lt;60000,"40K-59K", IF(bike_buyers[[#This Row],[Income]]&lt;80000,"60K-79K", IF(bike_buyers[[#This Row],[Income]]&lt;100000,"80K-99K","100K+"))))</f>
        <v>100K+</v>
      </c>
      <c r="F909">
        <v>3</v>
      </c>
      <c r="G909" s="1" t="s">
        <v>18</v>
      </c>
      <c r="H909" s="1" t="s">
        <v>27</v>
      </c>
      <c r="I909" s="1" t="s">
        <v>17</v>
      </c>
      <c r="J909">
        <v>4</v>
      </c>
      <c r="K909" s="1" t="s">
        <v>22</v>
      </c>
      <c r="L909" s="1" t="s">
        <v>16</v>
      </c>
      <c r="M909">
        <v>56</v>
      </c>
      <c r="N909" s="1" t="str" cm="1">
        <f t="array" ref="N909">_xlfn.IFS(M909&lt;40, " Adult", M909&lt;60, "Middle Age", M909&gt;=60, "Older Adult")</f>
        <v>Middle Age</v>
      </c>
      <c r="O909" s="1" t="s">
        <v>17</v>
      </c>
      <c r="P909" s="1" t="b">
        <f>IF(O909="Yes", 1)</f>
        <v>0</v>
      </c>
      <c r="Q909" s="1"/>
    </row>
    <row r="910" spans="1:17" x14ac:dyDescent="0.25">
      <c r="A910">
        <v>29117</v>
      </c>
      <c r="B910" s="1" t="s">
        <v>34</v>
      </c>
      <c r="C910" s="1" t="s">
        <v>32</v>
      </c>
      <c r="D910" s="2">
        <v>100000</v>
      </c>
      <c r="E910" s="2" t="str">
        <f>IF(bike_buyers[[#This Row],[Income]]&lt;40000,"Under 40K", IF(bike_buyers[[#This Row],[Income]]&lt;60000,"40K-59K", IF(bike_buyers[[#This Row],[Income]]&lt;80000,"60K-79K", IF(bike_buyers[[#This Row],[Income]]&lt;100000,"80K-99K","100K+"))))</f>
        <v>100K+</v>
      </c>
      <c r="F910">
        <v>1</v>
      </c>
      <c r="G910" s="1" t="s">
        <v>12</v>
      </c>
      <c r="H910" s="1" t="s">
        <v>27</v>
      </c>
      <c r="I910" s="1" t="s">
        <v>17</v>
      </c>
      <c r="J910">
        <v>3</v>
      </c>
      <c r="K910" s="1" t="s">
        <v>15</v>
      </c>
      <c r="L910" s="1" t="s">
        <v>23</v>
      </c>
      <c r="M910">
        <v>48</v>
      </c>
      <c r="N910" s="1" t="str" cm="1">
        <f t="array" ref="N910">_xlfn.IFS(M910&lt;40, " Adult", M910&lt;60, "Middle Age", M910&gt;=60, "Older Adult")</f>
        <v>Middle Age</v>
      </c>
      <c r="O910" s="1" t="s">
        <v>17</v>
      </c>
      <c r="P910" s="1" t="b">
        <f>IF(O910="Yes", 1)</f>
        <v>0</v>
      </c>
      <c r="Q910" s="1"/>
    </row>
    <row r="911" spans="1:17" x14ac:dyDescent="0.25">
      <c r="A911">
        <v>25058</v>
      </c>
      <c r="B911" s="1" t="s">
        <v>31</v>
      </c>
      <c r="C911" s="1" t="s">
        <v>32</v>
      </c>
      <c r="D911" s="2">
        <v>100000</v>
      </c>
      <c r="E911" s="2" t="str">
        <f>IF(bike_buyers[[#This Row],[Income]]&lt;40000,"Under 40K", IF(bike_buyers[[#This Row],[Income]]&lt;60000,"40K-59K", IF(bike_buyers[[#This Row],[Income]]&lt;80000,"60K-79K", IF(bike_buyers[[#This Row],[Income]]&lt;100000,"80K-99K","100K+"))))</f>
        <v>100K+</v>
      </c>
      <c r="F911">
        <v>1</v>
      </c>
      <c r="G911" s="1" t="s">
        <v>12</v>
      </c>
      <c r="H911" s="1" t="s">
        <v>27</v>
      </c>
      <c r="I911" s="1" t="s">
        <v>14</v>
      </c>
      <c r="J911">
        <v>3</v>
      </c>
      <c r="K911" s="1" t="s">
        <v>21</v>
      </c>
      <c r="L911" s="1" t="s">
        <v>23</v>
      </c>
      <c r="M911">
        <v>47</v>
      </c>
      <c r="N911" s="1" t="str" cm="1">
        <f t="array" ref="N911">_xlfn.IFS(M911&lt;40, " Adult", M911&lt;60, "Middle Age", M911&gt;=60, "Older Adult")</f>
        <v>Middle Age</v>
      </c>
      <c r="O911" s="1" t="s">
        <v>17</v>
      </c>
      <c r="P911" s="1" t="b">
        <f>IF(O911="Yes", 1)</f>
        <v>0</v>
      </c>
      <c r="Q911" s="1"/>
    </row>
    <row r="912" spans="1:17" x14ac:dyDescent="0.25">
      <c r="A912">
        <v>12664</v>
      </c>
      <c r="B912" s="1" t="s">
        <v>31</v>
      </c>
      <c r="C912" s="1" t="s">
        <v>33</v>
      </c>
      <c r="D912" s="2">
        <v>130000</v>
      </c>
      <c r="E912" s="2" t="str">
        <f>IF(bike_buyers[[#This Row],[Income]]&lt;40000,"Under 40K", IF(bike_buyers[[#This Row],[Income]]&lt;60000,"40K-59K", IF(bike_buyers[[#This Row],[Income]]&lt;80000,"60K-79K", IF(bike_buyers[[#This Row],[Income]]&lt;100000,"80K-99K","100K+"))))</f>
        <v>100K+</v>
      </c>
      <c r="F912">
        <v>5</v>
      </c>
      <c r="G912" s="1" t="s">
        <v>18</v>
      </c>
      <c r="H912" s="1" t="s">
        <v>20</v>
      </c>
      <c r="I912" s="1" t="s">
        <v>14</v>
      </c>
      <c r="J912">
        <v>4</v>
      </c>
      <c r="K912" s="1" t="s">
        <v>15</v>
      </c>
      <c r="L912" s="1" t="s">
        <v>16</v>
      </c>
      <c r="M912">
        <v>59</v>
      </c>
      <c r="N912" s="1" t="str" cm="1">
        <f t="array" ref="N912">_xlfn.IFS(M912&lt;40, " Adult", M912&lt;60, "Middle Age", M912&gt;=60, "Older Adult")</f>
        <v>Middle Age</v>
      </c>
      <c r="O912" s="1" t="s">
        <v>17</v>
      </c>
      <c r="P912" s="1" t="b">
        <f>IF(O912="Yes", 1)</f>
        <v>0</v>
      </c>
      <c r="Q912" s="1"/>
    </row>
    <row r="913" spans="1:17" x14ac:dyDescent="0.25">
      <c r="A913">
        <v>14233</v>
      </c>
      <c r="B913" s="1" t="s">
        <v>34</v>
      </c>
      <c r="C913" s="1" t="s">
        <v>32</v>
      </c>
      <c r="D913" s="2">
        <v>100000</v>
      </c>
      <c r="E913" s="2" t="str">
        <f>IF(bike_buyers[[#This Row],[Income]]&lt;40000,"Under 40K", IF(bike_buyers[[#This Row],[Income]]&lt;60000,"40K-59K", IF(bike_buyers[[#This Row],[Income]]&lt;80000,"60K-79K", IF(bike_buyers[[#This Row],[Income]]&lt;100000,"80K-99K","100K+"))))</f>
        <v>100K+</v>
      </c>
      <c r="F913">
        <v>0</v>
      </c>
      <c r="G913" s="1" t="s">
        <v>26</v>
      </c>
      <c r="H913" s="1" t="s">
        <v>27</v>
      </c>
      <c r="I913" s="1" t="s">
        <v>14</v>
      </c>
      <c r="J913">
        <v>3</v>
      </c>
      <c r="K913" s="1" t="s">
        <v>62</v>
      </c>
      <c r="L913" s="1" t="s">
        <v>23</v>
      </c>
      <c r="M913">
        <v>35</v>
      </c>
      <c r="N913" s="1" t="str" cm="1">
        <f t="array" ref="N913">_xlfn.IFS(M913&lt;40, " Adult", M913&lt;60, "Middle Age", M913&gt;=60, "Older Adult")</f>
        <v xml:space="preserve"> Adult</v>
      </c>
      <c r="O913" s="1" t="s">
        <v>17</v>
      </c>
      <c r="P913" s="1" t="b">
        <f>IF(O913="Yes", 1)</f>
        <v>0</v>
      </c>
      <c r="Q913" s="1"/>
    </row>
    <row r="914" spans="1:17" x14ac:dyDescent="0.25">
      <c r="A914">
        <v>17203</v>
      </c>
      <c r="B914" s="1" t="s">
        <v>31</v>
      </c>
      <c r="C914" s="1" t="s">
        <v>33</v>
      </c>
      <c r="D914" s="2">
        <v>130000</v>
      </c>
      <c r="E914" s="2" t="str">
        <f>IF(bike_buyers[[#This Row],[Income]]&lt;40000,"Under 40K", IF(bike_buyers[[#This Row],[Income]]&lt;60000,"40K-59K", IF(bike_buyers[[#This Row],[Income]]&lt;80000,"60K-79K", IF(bike_buyers[[#This Row],[Income]]&lt;100000,"80K-99K","100K+"))))</f>
        <v>100K+</v>
      </c>
      <c r="F914">
        <v>4</v>
      </c>
      <c r="G914" s="1" t="s">
        <v>18</v>
      </c>
      <c r="H914" s="1" t="s">
        <v>20</v>
      </c>
      <c r="I914" s="1" t="s">
        <v>14</v>
      </c>
      <c r="J914">
        <v>4</v>
      </c>
      <c r="K914" s="1" t="s">
        <v>22</v>
      </c>
      <c r="L914" s="1" t="s">
        <v>16</v>
      </c>
      <c r="M914">
        <v>61</v>
      </c>
      <c r="N914" s="1" t="str" cm="1">
        <f t="array" ref="N914">_xlfn.IFS(M914&lt;40, " Adult", M914&lt;60, "Middle Age", M914&gt;=60, "Older Adult")</f>
        <v>Older Adult</v>
      </c>
      <c r="O914" s="1" t="s">
        <v>14</v>
      </c>
      <c r="P914" s="1">
        <f>IF(O914="Yes", 1)</f>
        <v>1</v>
      </c>
      <c r="Q914" s="1"/>
    </row>
    <row r="915" spans="1:17" x14ac:dyDescent="0.25">
      <c r="A915">
        <v>27304</v>
      </c>
      <c r="B915" s="1" t="s">
        <v>34</v>
      </c>
      <c r="C915" s="1" t="s">
        <v>33</v>
      </c>
      <c r="D915" s="2">
        <v>110000</v>
      </c>
      <c r="E915" s="2" t="str">
        <f>IF(bike_buyers[[#This Row],[Income]]&lt;40000,"Under 40K", IF(bike_buyers[[#This Row],[Income]]&lt;60000,"40K-59K", IF(bike_buyers[[#This Row],[Income]]&lt;80000,"60K-79K", IF(bike_buyers[[#This Row],[Income]]&lt;100000,"80K-99K","100K+"))))</f>
        <v>100K+</v>
      </c>
      <c r="F915">
        <v>2</v>
      </c>
      <c r="G915" s="1" t="s">
        <v>18</v>
      </c>
      <c r="H915" s="1" t="s">
        <v>20</v>
      </c>
      <c r="I915" s="1" t="s">
        <v>17</v>
      </c>
      <c r="J915">
        <v>3</v>
      </c>
      <c r="K915" s="1" t="s">
        <v>22</v>
      </c>
      <c r="L915" s="1" t="s">
        <v>16</v>
      </c>
      <c r="M915">
        <v>48</v>
      </c>
      <c r="N915" s="1" t="str" cm="1">
        <f t="array" ref="N915">_xlfn.IFS(M915&lt;40, " Adult", M915&lt;60, "Middle Age", M915&gt;=60, "Older Adult")</f>
        <v>Middle Age</v>
      </c>
      <c r="O915" s="1" t="s">
        <v>17</v>
      </c>
      <c r="P915" s="1" t="b">
        <f>IF(O915="Yes", 1)</f>
        <v>0</v>
      </c>
      <c r="Q915" s="1"/>
    </row>
    <row r="916" spans="1:17" x14ac:dyDescent="0.25">
      <c r="A916">
        <v>14191</v>
      </c>
      <c r="B916" s="1" t="s">
        <v>31</v>
      </c>
      <c r="C916" s="1" t="s">
        <v>32</v>
      </c>
      <c r="D916" s="2">
        <v>160000</v>
      </c>
      <c r="E916" s="2" t="str">
        <f>IF(bike_buyers[[#This Row],[Income]]&lt;40000,"Under 40K", IF(bike_buyers[[#This Row],[Income]]&lt;60000,"40K-59K", IF(bike_buyers[[#This Row],[Income]]&lt;80000,"60K-79K", IF(bike_buyers[[#This Row],[Income]]&lt;100000,"80K-99K","100K+"))))</f>
        <v>100K+</v>
      </c>
      <c r="F916">
        <v>4</v>
      </c>
      <c r="G916" s="1" t="s">
        <v>18</v>
      </c>
      <c r="H916" s="1" t="s">
        <v>20</v>
      </c>
      <c r="I916" s="1" t="s">
        <v>17</v>
      </c>
      <c r="J916">
        <v>2</v>
      </c>
      <c r="K916" s="1" t="s">
        <v>62</v>
      </c>
      <c r="L916" s="1" t="s">
        <v>16</v>
      </c>
      <c r="M916">
        <v>55</v>
      </c>
      <c r="N916" s="1" t="str" cm="1">
        <f t="array" ref="N916">_xlfn.IFS(M916&lt;40, " Adult", M916&lt;60, "Middle Age", M916&gt;=60, "Older Adult")</f>
        <v>Middle Age</v>
      </c>
      <c r="O916" s="1" t="s">
        <v>14</v>
      </c>
      <c r="P916" s="1">
        <f>IF(O916="Yes", 1)</f>
        <v>1</v>
      </c>
      <c r="Q916" s="1"/>
    </row>
    <row r="917" spans="1:17" x14ac:dyDescent="0.25">
      <c r="A917">
        <v>28918</v>
      </c>
      <c r="B917" s="1" t="s">
        <v>31</v>
      </c>
      <c r="C917" s="1" t="s">
        <v>33</v>
      </c>
      <c r="D917" s="2">
        <v>130000</v>
      </c>
      <c r="E917" s="2" t="str">
        <f>IF(bike_buyers[[#This Row],[Income]]&lt;40000,"Under 40K", IF(bike_buyers[[#This Row],[Income]]&lt;60000,"40K-59K", IF(bike_buyers[[#This Row],[Income]]&lt;80000,"60K-79K", IF(bike_buyers[[#This Row],[Income]]&lt;100000,"80K-99K","100K+"))))</f>
        <v>100K+</v>
      </c>
      <c r="F917">
        <v>4</v>
      </c>
      <c r="G917" s="1" t="s">
        <v>26</v>
      </c>
      <c r="H917" s="1" t="s">
        <v>27</v>
      </c>
      <c r="I917" s="1" t="s">
        <v>17</v>
      </c>
      <c r="J917">
        <v>4</v>
      </c>
      <c r="K917" s="1" t="s">
        <v>62</v>
      </c>
      <c r="L917" s="1" t="s">
        <v>16</v>
      </c>
      <c r="M917">
        <v>58</v>
      </c>
      <c r="N917" s="1" t="str" cm="1">
        <f t="array" ref="N917">_xlfn.IFS(M917&lt;40, " Adult", M917&lt;60, "Middle Age", M917&gt;=60, "Older Adult")</f>
        <v>Middle Age</v>
      </c>
      <c r="O917" s="1" t="s">
        <v>17</v>
      </c>
      <c r="P917" s="1" t="b">
        <f>IF(O917="Yes", 1)</f>
        <v>0</v>
      </c>
      <c r="Q917" s="1"/>
    </row>
    <row r="918" spans="1:17" x14ac:dyDescent="0.25">
      <c r="A918">
        <v>15214</v>
      </c>
      <c r="B918" s="1" t="s">
        <v>34</v>
      </c>
      <c r="C918" s="1" t="s">
        <v>33</v>
      </c>
      <c r="D918" s="2">
        <v>100000</v>
      </c>
      <c r="E918" s="2" t="str">
        <f>IF(bike_buyers[[#This Row],[Income]]&lt;40000,"Under 40K", IF(bike_buyers[[#This Row],[Income]]&lt;60000,"40K-59K", IF(bike_buyers[[#This Row],[Income]]&lt;80000,"60K-79K", IF(bike_buyers[[#This Row],[Income]]&lt;100000,"80K-99K","100K+"))))</f>
        <v>100K+</v>
      </c>
      <c r="F918">
        <v>0</v>
      </c>
      <c r="G918" s="1" t="s">
        <v>29</v>
      </c>
      <c r="H918" s="1" t="s">
        <v>27</v>
      </c>
      <c r="I918" s="1" t="s">
        <v>17</v>
      </c>
      <c r="J918">
        <v>1</v>
      </c>
      <c r="K918" s="1" t="s">
        <v>25</v>
      </c>
      <c r="L918" s="1" t="s">
        <v>23</v>
      </c>
      <c r="M918">
        <v>39</v>
      </c>
      <c r="N918" s="1" t="str" cm="1">
        <f t="array" ref="N918">_xlfn.IFS(M918&lt;40, " Adult", M918&lt;60, "Middle Age", M918&gt;=60, "Older Adult")</f>
        <v xml:space="preserve"> Adult</v>
      </c>
      <c r="O918" s="1" t="s">
        <v>14</v>
      </c>
      <c r="P918" s="1">
        <f>IF(O918="Yes", 1)</f>
        <v>1</v>
      </c>
      <c r="Q918" s="1"/>
    </row>
    <row r="919" spans="1:17" x14ac:dyDescent="0.25">
      <c r="A919">
        <v>22830</v>
      </c>
      <c r="B919" s="1" t="s">
        <v>31</v>
      </c>
      <c r="C919" s="1" t="s">
        <v>32</v>
      </c>
      <c r="D919" s="2">
        <v>120000</v>
      </c>
      <c r="E919" s="2" t="str">
        <f>IF(bike_buyers[[#This Row],[Income]]&lt;40000,"Under 40K", IF(bike_buyers[[#This Row],[Income]]&lt;60000,"40K-59K", IF(bike_buyers[[#This Row],[Income]]&lt;80000,"60K-79K", IF(bike_buyers[[#This Row],[Income]]&lt;100000,"80K-99K","100K+"))))</f>
        <v>100K+</v>
      </c>
      <c r="F919">
        <v>4</v>
      </c>
      <c r="G919" s="1" t="s">
        <v>18</v>
      </c>
      <c r="H919" s="1" t="s">
        <v>27</v>
      </c>
      <c r="I919" s="1" t="s">
        <v>14</v>
      </c>
      <c r="J919">
        <v>3</v>
      </c>
      <c r="K919" s="1" t="s">
        <v>62</v>
      </c>
      <c r="L919" s="1" t="s">
        <v>16</v>
      </c>
      <c r="M919">
        <v>56</v>
      </c>
      <c r="N919" s="1" t="str" cm="1">
        <f t="array" ref="N919">_xlfn.IFS(M919&lt;40, " Adult", M919&lt;60, "Middle Age", M919&gt;=60, "Older Adult")</f>
        <v>Middle Age</v>
      </c>
      <c r="O919" s="1" t="s">
        <v>17</v>
      </c>
      <c r="P919" s="1" t="b">
        <f>IF(O919="Yes", 1)</f>
        <v>0</v>
      </c>
      <c r="Q919" s="1"/>
    </row>
    <row r="920" spans="1:17" x14ac:dyDescent="0.25">
      <c r="A920">
        <v>19057</v>
      </c>
      <c r="B920" s="1" t="s">
        <v>31</v>
      </c>
      <c r="C920" s="1" t="s">
        <v>33</v>
      </c>
      <c r="D920" s="2">
        <v>120000</v>
      </c>
      <c r="E920" s="2" t="str">
        <f>IF(bike_buyers[[#This Row],[Income]]&lt;40000,"Under 40K", IF(bike_buyers[[#This Row],[Income]]&lt;60000,"40K-59K", IF(bike_buyers[[#This Row],[Income]]&lt;80000,"60K-79K", IF(bike_buyers[[#This Row],[Income]]&lt;100000,"80K-99K","100K+"))))</f>
        <v>100K+</v>
      </c>
      <c r="F920">
        <v>3</v>
      </c>
      <c r="G920" s="1" t="s">
        <v>12</v>
      </c>
      <c r="H920" s="1" t="s">
        <v>27</v>
      </c>
      <c r="I920" s="1" t="s">
        <v>17</v>
      </c>
      <c r="J920">
        <v>2</v>
      </c>
      <c r="K920" s="1" t="s">
        <v>62</v>
      </c>
      <c r="L920" s="1" t="s">
        <v>16</v>
      </c>
      <c r="M920">
        <v>52</v>
      </c>
      <c r="N920" s="1" t="str" cm="1">
        <f t="array" ref="N920">_xlfn.IFS(M920&lt;40, " Adult", M920&lt;60, "Middle Age", M920&gt;=60, "Older Adult")</f>
        <v>Middle Age</v>
      </c>
      <c r="O920" s="1" t="s">
        <v>14</v>
      </c>
      <c r="P920" s="1">
        <f>IF(O920="Yes", 1)</f>
        <v>1</v>
      </c>
      <c r="Q920" s="1"/>
    </row>
    <row r="921" spans="1:17" x14ac:dyDescent="0.25">
      <c r="A921">
        <v>18494</v>
      </c>
      <c r="B921" s="1" t="s">
        <v>31</v>
      </c>
      <c r="C921" s="1" t="s">
        <v>32</v>
      </c>
      <c r="D921" s="2">
        <v>110000</v>
      </c>
      <c r="E921" s="2" t="str">
        <f>IF(bike_buyers[[#This Row],[Income]]&lt;40000,"Under 40K", IF(bike_buyers[[#This Row],[Income]]&lt;60000,"40K-59K", IF(bike_buyers[[#This Row],[Income]]&lt;80000,"60K-79K", IF(bike_buyers[[#This Row],[Income]]&lt;100000,"80K-99K","100K+"))))</f>
        <v>100K+</v>
      </c>
      <c r="F921">
        <v>5</v>
      </c>
      <c r="G921" s="1" t="s">
        <v>12</v>
      </c>
      <c r="H921" s="1" t="s">
        <v>27</v>
      </c>
      <c r="I921" s="1" t="s">
        <v>14</v>
      </c>
      <c r="J921">
        <v>4</v>
      </c>
      <c r="K921" s="1" t="s">
        <v>21</v>
      </c>
      <c r="L921" s="1" t="s">
        <v>23</v>
      </c>
      <c r="M921">
        <v>48</v>
      </c>
      <c r="N921" s="1" t="str" cm="1">
        <f t="array" ref="N921">_xlfn.IFS(M921&lt;40, " Adult", M921&lt;60, "Middle Age", M921&gt;=60, "Older Adult")</f>
        <v>Middle Age</v>
      </c>
      <c r="O921" s="1" t="s">
        <v>14</v>
      </c>
      <c r="P921" s="1">
        <f>IF(O921="Yes", 1)</f>
        <v>1</v>
      </c>
      <c r="Q921" s="1"/>
    </row>
    <row r="922" spans="1:17" x14ac:dyDescent="0.25">
      <c r="A922">
        <v>11249</v>
      </c>
      <c r="B922" s="1" t="s">
        <v>31</v>
      </c>
      <c r="C922" s="1" t="s">
        <v>33</v>
      </c>
      <c r="D922" s="2">
        <v>130000</v>
      </c>
      <c r="E922" s="2" t="str">
        <f>IF(bike_buyers[[#This Row],[Income]]&lt;40000,"Under 40K", IF(bike_buyers[[#This Row],[Income]]&lt;60000,"40K-59K", IF(bike_buyers[[#This Row],[Income]]&lt;80000,"60K-79K", IF(bike_buyers[[#This Row],[Income]]&lt;100000,"80K-99K","100K+"))))</f>
        <v>100K+</v>
      </c>
      <c r="F922">
        <v>3</v>
      </c>
      <c r="G922" s="1" t="s">
        <v>18</v>
      </c>
      <c r="H922" s="1" t="s">
        <v>20</v>
      </c>
      <c r="I922" s="1" t="s">
        <v>14</v>
      </c>
      <c r="J922">
        <v>3</v>
      </c>
      <c r="K922" s="1" t="s">
        <v>15</v>
      </c>
      <c r="L922" s="1" t="s">
        <v>16</v>
      </c>
      <c r="M922">
        <v>51</v>
      </c>
      <c r="N922" s="1" t="str" cm="1">
        <f t="array" ref="N922">_xlfn.IFS(M922&lt;40, " Adult", M922&lt;60, "Middle Age", M922&gt;=60, "Older Adult")</f>
        <v>Middle Age</v>
      </c>
      <c r="O922" s="1" t="s">
        <v>14</v>
      </c>
      <c r="P922" s="1">
        <f>IF(O922="Yes", 1)</f>
        <v>1</v>
      </c>
      <c r="Q922" s="1"/>
    </row>
    <row r="923" spans="1:17" x14ac:dyDescent="0.25">
      <c r="A923">
        <v>21568</v>
      </c>
      <c r="B923" s="1" t="s">
        <v>31</v>
      </c>
      <c r="C923" s="1" t="s">
        <v>33</v>
      </c>
      <c r="D923" s="2">
        <v>100000</v>
      </c>
      <c r="E923" s="2" t="str">
        <f>IF(bike_buyers[[#This Row],[Income]]&lt;40000,"Under 40K", IF(bike_buyers[[#This Row],[Income]]&lt;60000,"40K-59K", IF(bike_buyers[[#This Row],[Income]]&lt;80000,"60K-79K", IF(bike_buyers[[#This Row],[Income]]&lt;100000,"80K-99K","100K+"))))</f>
        <v>100K+</v>
      </c>
      <c r="F923">
        <v>0</v>
      </c>
      <c r="G923" s="1" t="s">
        <v>26</v>
      </c>
      <c r="H923" s="1" t="s">
        <v>27</v>
      </c>
      <c r="I923" s="1" t="s">
        <v>14</v>
      </c>
      <c r="J923">
        <v>4</v>
      </c>
      <c r="K923" s="1" t="s">
        <v>62</v>
      </c>
      <c r="L923" s="1" t="s">
        <v>23</v>
      </c>
      <c r="M923">
        <v>34</v>
      </c>
      <c r="N923" s="1" t="str" cm="1">
        <f t="array" ref="N923">_xlfn.IFS(M923&lt;40, " Adult", M923&lt;60, "Middle Age", M923&gt;=60, "Older Adult")</f>
        <v xml:space="preserve"> Adult</v>
      </c>
      <c r="O923" s="1" t="s">
        <v>14</v>
      </c>
      <c r="P923" s="1">
        <f>IF(O923="Yes", 1)</f>
        <v>1</v>
      </c>
      <c r="Q923" s="1"/>
    </row>
    <row r="924" spans="1:17" x14ac:dyDescent="0.25">
      <c r="A924">
        <v>22931</v>
      </c>
      <c r="B924" s="1" t="s">
        <v>31</v>
      </c>
      <c r="C924" s="1" t="s">
        <v>32</v>
      </c>
      <c r="D924" s="2">
        <v>100000</v>
      </c>
      <c r="E924" s="2" t="str">
        <f>IF(bike_buyers[[#This Row],[Income]]&lt;40000,"Under 40K", IF(bike_buyers[[#This Row],[Income]]&lt;60000,"40K-59K", IF(bike_buyers[[#This Row],[Income]]&lt;80000,"60K-79K", IF(bike_buyers[[#This Row],[Income]]&lt;100000,"80K-99K","100K+"))))</f>
        <v>100K+</v>
      </c>
      <c r="F924">
        <v>5</v>
      </c>
      <c r="G924" s="1" t="s">
        <v>29</v>
      </c>
      <c r="H924" s="1" t="s">
        <v>27</v>
      </c>
      <c r="I924" s="1" t="s">
        <v>17</v>
      </c>
      <c r="J924">
        <v>1</v>
      </c>
      <c r="K924" s="1" t="s">
        <v>25</v>
      </c>
      <c r="L924" s="1" t="s">
        <v>23</v>
      </c>
      <c r="M924">
        <v>78</v>
      </c>
      <c r="N924" s="1" t="str" cm="1">
        <f t="array" ref="N924">_xlfn.IFS(M924&lt;40, " Adult", M924&lt;60, "Middle Age", M924&gt;=60, "Older Adult")</f>
        <v>Older Adult</v>
      </c>
      <c r="O924" s="1" t="s">
        <v>14</v>
      </c>
      <c r="P924" s="1">
        <f>IF(O924="Yes", 1)</f>
        <v>1</v>
      </c>
      <c r="Q924" s="1"/>
    </row>
    <row r="925" spans="1:17" x14ac:dyDescent="0.25">
      <c r="A925">
        <v>18172</v>
      </c>
      <c r="B925" s="1" t="s">
        <v>31</v>
      </c>
      <c r="C925" s="1" t="s">
        <v>32</v>
      </c>
      <c r="D925" s="2">
        <v>130000</v>
      </c>
      <c r="E925" s="2" t="str">
        <f>IF(bike_buyers[[#This Row],[Income]]&lt;40000,"Under 40K", IF(bike_buyers[[#This Row],[Income]]&lt;60000,"40K-59K", IF(bike_buyers[[#This Row],[Income]]&lt;80000,"60K-79K", IF(bike_buyers[[#This Row],[Income]]&lt;100000,"80K-99K","100K+"))))</f>
        <v>100K+</v>
      </c>
      <c r="F925">
        <v>4</v>
      </c>
      <c r="G925" s="1" t="s">
        <v>26</v>
      </c>
      <c r="H925" s="1" t="s">
        <v>20</v>
      </c>
      <c r="I925" s="1" t="s">
        <v>14</v>
      </c>
      <c r="J925">
        <v>3</v>
      </c>
      <c r="K925" s="1" t="s">
        <v>15</v>
      </c>
      <c r="L925" s="1" t="s">
        <v>16</v>
      </c>
      <c r="M925">
        <v>55</v>
      </c>
      <c r="N925" s="1" t="str" cm="1">
        <f t="array" ref="N925">_xlfn.IFS(M925&lt;40, " Adult", M925&lt;60, "Middle Age", M925&gt;=60, "Older Adult")</f>
        <v>Middle Age</v>
      </c>
      <c r="O925" s="1" t="s">
        <v>17</v>
      </c>
      <c r="P925" s="1" t="b">
        <f>IF(O925="Yes", 1)</f>
        <v>0</v>
      </c>
      <c r="Q925" s="1"/>
    </row>
    <row r="926" spans="1:17" x14ac:dyDescent="0.25">
      <c r="A926">
        <v>20598</v>
      </c>
      <c r="B926" s="1" t="s">
        <v>31</v>
      </c>
      <c r="C926" s="1" t="s">
        <v>32</v>
      </c>
      <c r="D926" s="2">
        <v>100000</v>
      </c>
      <c r="E926" s="2" t="str">
        <f>IF(bike_buyers[[#This Row],[Income]]&lt;40000,"Under 40K", IF(bike_buyers[[#This Row],[Income]]&lt;60000,"40K-59K", IF(bike_buyers[[#This Row],[Income]]&lt;80000,"60K-79K", IF(bike_buyers[[#This Row],[Income]]&lt;100000,"80K-99K","100K+"))))</f>
        <v>100K+</v>
      </c>
      <c r="F926">
        <v>3</v>
      </c>
      <c r="G926" s="1" t="s">
        <v>28</v>
      </c>
      <c r="H926" s="1" t="s">
        <v>20</v>
      </c>
      <c r="I926" s="1" t="s">
        <v>14</v>
      </c>
      <c r="J926">
        <v>0</v>
      </c>
      <c r="K926" s="1" t="s">
        <v>62</v>
      </c>
      <c r="L926" s="1" t="s">
        <v>16</v>
      </c>
      <c r="M926">
        <v>59</v>
      </c>
      <c r="N926" s="1" t="str" cm="1">
        <f t="array" ref="N926">_xlfn.IFS(M926&lt;40, " Adult", M926&lt;60, "Middle Age", M926&gt;=60, "Older Adult")</f>
        <v>Middle Age</v>
      </c>
      <c r="O926" s="1" t="s">
        <v>14</v>
      </c>
      <c r="P926" s="1">
        <f>IF(O926="Yes", 1)</f>
        <v>1</v>
      </c>
      <c r="Q926" s="1"/>
    </row>
    <row r="927" spans="1:17" x14ac:dyDescent="0.25">
      <c r="A927">
        <v>14193</v>
      </c>
      <c r="B927" s="1" t="s">
        <v>34</v>
      </c>
      <c r="C927" s="1" t="s">
        <v>33</v>
      </c>
      <c r="D927" s="2">
        <v>100000</v>
      </c>
      <c r="E927" s="2" t="str">
        <f>IF(bike_buyers[[#This Row],[Income]]&lt;40000,"Under 40K", IF(bike_buyers[[#This Row],[Income]]&lt;60000,"40K-59K", IF(bike_buyers[[#This Row],[Income]]&lt;80000,"60K-79K", IF(bike_buyers[[#This Row],[Income]]&lt;100000,"80K-99K","100K+"))))</f>
        <v>100K+</v>
      </c>
      <c r="F927">
        <v>3</v>
      </c>
      <c r="G927" s="1" t="s">
        <v>18</v>
      </c>
      <c r="H927" s="1" t="s">
        <v>27</v>
      </c>
      <c r="I927" s="1" t="s">
        <v>14</v>
      </c>
      <c r="J927">
        <v>4</v>
      </c>
      <c r="K927" s="1" t="s">
        <v>62</v>
      </c>
      <c r="L927" s="1" t="s">
        <v>16</v>
      </c>
      <c r="M927">
        <v>56</v>
      </c>
      <c r="N927" s="1" t="str" cm="1">
        <f t="array" ref="N927">_xlfn.IFS(M927&lt;40, " Adult", M927&lt;60, "Middle Age", M927&gt;=60, "Older Adult")</f>
        <v>Middle Age</v>
      </c>
      <c r="O927" s="1" t="s">
        <v>17</v>
      </c>
      <c r="P927" s="1" t="b">
        <f>IF(O927="Yes", 1)</f>
        <v>0</v>
      </c>
      <c r="Q927" s="1"/>
    </row>
    <row r="928" spans="1:17" x14ac:dyDescent="0.25">
      <c r="A928">
        <v>12705</v>
      </c>
      <c r="B928" s="1" t="s">
        <v>31</v>
      </c>
      <c r="C928" s="1" t="s">
        <v>32</v>
      </c>
      <c r="D928" s="2">
        <v>150000</v>
      </c>
      <c r="E928" s="2" t="str">
        <f>IF(bike_buyers[[#This Row],[Income]]&lt;40000,"Under 40K", IF(bike_buyers[[#This Row],[Income]]&lt;60000,"40K-59K", IF(bike_buyers[[#This Row],[Income]]&lt;80000,"60K-79K", IF(bike_buyers[[#This Row],[Income]]&lt;100000,"80K-99K","100K+"))))</f>
        <v>100K+</v>
      </c>
      <c r="F928">
        <v>0</v>
      </c>
      <c r="G928" s="1" t="s">
        <v>12</v>
      </c>
      <c r="H928" s="1" t="s">
        <v>27</v>
      </c>
      <c r="I928" s="1" t="s">
        <v>14</v>
      </c>
      <c r="J928">
        <v>4</v>
      </c>
      <c r="K928" s="1" t="s">
        <v>15</v>
      </c>
      <c r="L928" s="1" t="s">
        <v>23</v>
      </c>
      <c r="M928">
        <v>37</v>
      </c>
      <c r="N928" s="1" t="str" cm="1">
        <f t="array" ref="N928">_xlfn.IFS(M928&lt;40, " Adult", M928&lt;60, "Middle Age", M928&gt;=60, "Older Adult")</f>
        <v xml:space="preserve"> Adult</v>
      </c>
      <c r="O928" s="1" t="s">
        <v>14</v>
      </c>
      <c r="P928" s="1">
        <f>IF(O928="Yes", 1)</f>
        <v>1</v>
      </c>
      <c r="Q928" s="1"/>
    </row>
    <row r="929" spans="1:17" x14ac:dyDescent="0.25">
      <c r="A929">
        <v>13133</v>
      </c>
      <c r="B929" s="1" t="s">
        <v>34</v>
      </c>
      <c r="C929" s="1" t="s">
        <v>32</v>
      </c>
      <c r="D929" s="2">
        <v>100000</v>
      </c>
      <c r="E929" s="2" t="str">
        <f>IF(bike_buyers[[#This Row],[Income]]&lt;40000,"Under 40K", IF(bike_buyers[[#This Row],[Income]]&lt;60000,"40K-59K", IF(bike_buyers[[#This Row],[Income]]&lt;80000,"60K-79K", IF(bike_buyers[[#This Row],[Income]]&lt;100000,"80K-99K","100K+"))))</f>
        <v>100K+</v>
      </c>
      <c r="F929">
        <v>5</v>
      </c>
      <c r="G929" s="1" t="s">
        <v>12</v>
      </c>
      <c r="H929" s="1" t="s">
        <v>20</v>
      </c>
      <c r="I929" s="1" t="s">
        <v>14</v>
      </c>
      <c r="J929">
        <v>1</v>
      </c>
      <c r="K929" s="1" t="s">
        <v>22</v>
      </c>
      <c r="L929" s="1" t="s">
        <v>23</v>
      </c>
      <c r="M929">
        <v>47</v>
      </c>
      <c r="N929" s="1" t="str" cm="1">
        <f t="array" ref="N929">_xlfn.IFS(M929&lt;40, " Adult", M929&lt;60, "Middle Age", M929&gt;=60, "Older Adult")</f>
        <v>Middle Age</v>
      </c>
      <c r="O929" s="1" t="s">
        <v>14</v>
      </c>
      <c r="P929" s="1">
        <f>IF(O929="Yes", 1)</f>
        <v>1</v>
      </c>
      <c r="Q929" s="1"/>
    </row>
    <row r="930" spans="1:17" x14ac:dyDescent="0.25">
      <c r="A930">
        <v>20625</v>
      </c>
      <c r="B930" s="1" t="s">
        <v>31</v>
      </c>
      <c r="C930" s="1" t="s">
        <v>32</v>
      </c>
      <c r="D930" s="2">
        <v>100000</v>
      </c>
      <c r="E930" s="2" t="str">
        <f>IF(bike_buyers[[#This Row],[Income]]&lt;40000,"Under 40K", IF(bike_buyers[[#This Row],[Income]]&lt;60000,"40K-59K", IF(bike_buyers[[#This Row],[Income]]&lt;80000,"60K-79K", IF(bike_buyers[[#This Row],[Income]]&lt;100000,"80K-99K","100K+"))))</f>
        <v>100K+</v>
      </c>
      <c r="F930">
        <v>0</v>
      </c>
      <c r="G930" s="1" t="s">
        <v>26</v>
      </c>
      <c r="H930" s="1" t="s">
        <v>27</v>
      </c>
      <c r="I930" s="1" t="s">
        <v>14</v>
      </c>
      <c r="J930">
        <v>3</v>
      </c>
      <c r="K930" s="1" t="s">
        <v>62</v>
      </c>
      <c r="L930" s="1" t="s">
        <v>23</v>
      </c>
      <c r="M930">
        <v>35</v>
      </c>
      <c r="N930" s="1" t="str" cm="1">
        <f t="array" ref="N930">_xlfn.IFS(M930&lt;40, " Adult", M930&lt;60, "Middle Age", M930&gt;=60, "Older Adult")</f>
        <v xml:space="preserve"> Adult</v>
      </c>
      <c r="O930" s="1" t="s">
        <v>14</v>
      </c>
      <c r="P930" s="1">
        <f>IF(O930="Yes", 1)</f>
        <v>1</v>
      </c>
      <c r="Q930" s="1"/>
    </row>
    <row r="931" spans="1:17" x14ac:dyDescent="0.25">
      <c r="A931">
        <v>29120</v>
      </c>
      <c r="B931" s="1" t="s">
        <v>34</v>
      </c>
      <c r="C931" s="1" t="s">
        <v>33</v>
      </c>
      <c r="D931" s="2">
        <v>100000</v>
      </c>
      <c r="E931" s="2" t="str">
        <f>IF(bike_buyers[[#This Row],[Income]]&lt;40000,"Under 40K", IF(bike_buyers[[#This Row],[Income]]&lt;60000,"40K-59K", IF(bike_buyers[[#This Row],[Income]]&lt;80000,"60K-79K", IF(bike_buyers[[#This Row],[Income]]&lt;100000,"80K-99K","100K+"))))</f>
        <v>100K+</v>
      </c>
      <c r="F931">
        <v>1</v>
      </c>
      <c r="G931" s="1" t="s">
        <v>12</v>
      </c>
      <c r="H931" s="1" t="s">
        <v>27</v>
      </c>
      <c r="I931" s="1" t="s">
        <v>14</v>
      </c>
      <c r="J931">
        <v>4</v>
      </c>
      <c r="K931" s="1" t="s">
        <v>21</v>
      </c>
      <c r="L931" s="1" t="s">
        <v>23</v>
      </c>
      <c r="M931">
        <v>48</v>
      </c>
      <c r="N931" s="1" t="str" cm="1">
        <f t="array" ref="N931">_xlfn.IFS(M931&lt;40, " Adult", M931&lt;60, "Middle Age", M931&gt;=60, "Older Adult")</f>
        <v>Middle Age</v>
      </c>
      <c r="O931" s="1" t="s">
        <v>17</v>
      </c>
      <c r="P931" s="1" t="b">
        <f>IF(O931="Yes", 1)</f>
        <v>0</v>
      </c>
      <c r="Q931" s="1"/>
    </row>
    <row r="932" spans="1:17" x14ac:dyDescent="0.25">
      <c r="A932">
        <v>15758</v>
      </c>
      <c r="B932" s="1" t="s">
        <v>31</v>
      </c>
      <c r="C932" s="1" t="s">
        <v>32</v>
      </c>
      <c r="D932" s="2">
        <v>130000</v>
      </c>
      <c r="E932" s="2" t="str">
        <f>IF(bike_buyers[[#This Row],[Income]]&lt;40000,"Under 40K", IF(bike_buyers[[#This Row],[Income]]&lt;60000,"40K-59K", IF(bike_buyers[[#This Row],[Income]]&lt;80000,"60K-79K", IF(bike_buyers[[#This Row],[Income]]&lt;100000,"80K-99K","100K+"))))</f>
        <v>100K+</v>
      </c>
      <c r="F932">
        <v>0</v>
      </c>
      <c r="G932" s="1" t="s">
        <v>29</v>
      </c>
      <c r="H932" s="1" t="s">
        <v>27</v>
      </c>
      <c r="I932" s="1" t="s">
        <v>14</v>
      </c>
      <c r="J932">
        <v>0</v>
      </c>
      <c r="K932" s="1" t="s">
        <v>22</v>
      </c>
      <c r="L932" s="1" t="s">
        <v>23</v>
      </c>
      <c r="M932">
        <v>48</v>
      </c>
      <c r="N932" s="1" t="str" cm="1">
        <f t="array" ref="N932">_xlfn.IFS(M932&lt;40, " Adult", M932&lt;60, "Middle Age", M932&gt;=60, "Older Adult")</f>
        <v>Middle Age</v>
      </c>
      <c r="O932" s="1" t="s">
        <v>17</v>
      </c>
      <c r="P932" s="1" t="b">
        <f>IF(O932="Yes", 1)</f>
        <v>0</v>
      </c>
      <c r="Q932" s="1"/>
    </row>
    <row r="933" spans="1:17" x14ac:dyDescent="0.25">
      <c r="A933">
        <v>21557</v>
      </c>
      <c r="B933" s="1" t="s">
        <v>34</v>
      </c>
      <c r="C933" s="1" t="s">
        <v>33</v>
      </c>
      <c r="D933" s="2">
        <v>110000</v>
      </c>
      <c r="E933" s="2" t="str">
        <f>IF(bike_buyers[[#This Row],[Income]]&lt;40000,"Under 40K", IF(bike_buyers[[#This Row],[Income]]&lt;60000,"40K-59K", IF(bike_buyers[[#This Row],[Income]]&lt;80000,"60K-79K", IF(bike_buyers[[#This Row],[Income]]&lt;100000,"80K-99K","100K+"))))</f>
        <v>100K+</v>
      </c>
      <c r="F933">
        <v>0</v>
      </c>
      <c r="G933" s="1" t="s">
        <v>18</v>
      </c>
      <c r="H933" s="1" t="s">
        <v>27</v>
      </c>
      <c r="I933" s="1" t="s">
        <v>14</v>
      </c>
      <c r="J933">
        <v>3</v>
      </c>
      <c r="K933" s="1" t="s">
        <v>62</v>
      </c>
      <c r="L933" s="1" t="s">
        <v>23</v>
      </c>
      <c r="M933">
        <v>32</v>
      </c>
      <c r="N933" s="1" t="str" cm="1">
        <f t="array" ref="N933">_xlfn.IFS(M933&lt;40, " Adult", M933&lt;60, "Middle Age", M933&gt;=60, "Older Adult")</f>
        <v xml:space="preserve"> Adult</v>
      </c>
      <c r="O933" s="1" t="s">
        <v>14</v>
      </c>
      <c r="P933" s="1">
        <f>IF(O933="Yes", 1)</f>
        <v>1</v>
      </c>
      <c r="Q933" s="1"/>
    </row>
    <row r="934" spans="1:17" x14ac:dyDescent="0.25">
      <c r="A934">
        <v>11896</v>
      </c>
      <c r="B934" s="1" t="s">
        <v>31</v>
      </c>
      <c r="C934" s="1" t="s">
        <v>32</v>
      </c>
      <c r="D934" s="2">
        <v>100000</v>
      </c>
      <c r="E934" s="2" t="str">
        <f>IF(bike_buyers[[#This Row],[Income]]&lt;40000,"Under 40K", IF(bike_buyers[[#This Row],[Income]]&lt;60000,"40K-59K", IF(bike_buyers[[#This Row],[Income]]&lt;80000,"60K-79K", IF(bike_buyers[[#This Row],[Income]]&lt;100000,"80K-99K","100K+"))))</f>
        <v>100K+</v>
      </c>
      <c r="F934">
        <v>1</v>
      </c>
      <c r="G934" s="1" t="s">
        <v>29</v>
      </c>
      <c r="H934" s="1" t="s">
        <v>27</v>
      </c>
      <c r="I934" s="1" t="s">
        <v>14</v>
      </c>
      <c r="J934">
        <v>0</v>
      </c>
      <c r="K934" s="1" t="s">
        <v>21</v>
      </c>
      <c r="L934" s="1" t="s">
        <v>23</v>
      </c>
      <c r="M934">
        <v>36</v>
      </c>
      <c r="N934" s="1" t="str" cm="1">
        <f t="array" ref="N934">_xlfn.IFS(M934&lt;40, " Adult", M934&lt;60, "Middle Age", M934&gt;=60, "Older Adult")</f>
        <v xml:space="preserve"> Adult</v>
      </c>
      <c r="O934" s="1" t="s">
        <v>14</v>
      </c>
      <c r="P934" s="1">
        <f>IF(O934="Yes", 1)</f>
        <v>1</v>
      </c>
      <c r="Q934" s="1"/>
    </row>
    <row r="935" spans="1:17" x14ac:dyDescent="0.25">
      <c r="A935">
        <v>17522</v>
      </c>
      <c r="B935" s="1" t="s">
        <v>31</v>
      </c>
      <c r="C935" s="1" t="s">
        <v>32</v>
      </c>
      <c r="D935" s="2">
        <v>120000</v>
      </c>
      <c r="E935" s="2" t="str">
        <f>IF(bike_buyers[[#This Row],[Income]]&lt;40000,"Under 40K", IF(bike_buyers[[#This Row],[Income]]&lt;60000,"40K-59K", IF(bike_buyers[[#This Row],[Income]]&lt;80000,"60K-79K", IF(bike_buyers[[#This Row],[Income]]&lt;100000,"80K-99K","100K+"))))</f>
        <v>100K+</v>
      </c>
      <c r="F935">
        <v>4</v>
      </c>
      <c r="G935" s="1" t="s">
        <v>12</v>
      </c>
      <c r="H935" s="1" t="s">
        <v>27</v>
      </c>
      <c r="I935" s="1" t="s">
        <v>14</v>
      </c>
      <c r="J935">
        <v>1</v>
      </c>
      <c r="K935" s="1" t="s">
        <v>21</v>
      </c>
      <c r="L935" s="1" t="s">
        <v>23</v>
      </c>
      <c r="M935">
        <v>47</v>
      </c>
      <c r="N935" s="1" t="str" cm="1">
        <f t="array" ref="N935">_xlfn.IFS(M935&lt;40, " Adult", M935&lt;60, "Middle Age", M935&gt;=60, "Older Adult")</f>
        <v>Middle Age</v>
      </c>
      <c r="O935" s="1" t="s">
        <v>17</v>
      </c>
      <c r="P935" s="1" t="b">
        <f>IF(O935="Yes", 1)</f>
        <v>0</v>
      </c>
      <c r="Q935" s="1"/>
    </row>
    <row r="936" spans="1:17" x14ac:dyDescent="0.25">
      <c r="A936">
        <v>19066</v>
      </c>
      <c r="B936" s="1" t="s">
        <v>31</v>
      </c>
      <c r="C936" s="1" t="s">
        <v>32</v>
      </c>
      <c r="D936" s="2">
        <v>130000</v>
      </c>
      <c r="E936" s="2" t="str">
        <f>IF(bike_buyers[[#This Row],[Income]]&lt;40000,"Under 40K", IF(bike_buyers[[#This Row],[Income]]&lt;60000,"40K-59K", IF(bike_buyers[[#This Row],[Income]]&lt;80000,"60K-79K", IF(bike_buyers[[#This Row],[Income]]&lt;100000,"80K-99K","100K+"))))</f>
        <v>100K+</v>
      </c>
      <c r="F936">
        <v>4</v>
      </c>
      <c r="G936" s="1" t="s">
        <v>18</v>
      </c>
      <c r="H936" s="1" t="s">
        <v>20</v>
      </c>
      <c r="I936" s="1" t="s">
        <v>17</v>
      </c>
      <c r="J936">
        <v>3</v>
      </c>
      <c r="K936" s="1" t="s">
        <v>62</v>
      </c>
      <c r="L936" s="1" t="s">
        <v>16</v>
      </c>
      <c r="M936">
        <v>54</v>
      </c>
      <c r="N936" s="1" t="str" cm="1">
        <f t="array" ref="N936">_xlfn.IFS(M936&lt;40, " Adult", M936&lt;60, "Middle Age", M936&gt;=60, "Older Adult")</f>
        <v>Middle Age</v>
      </c>
      <c r="O936" s="1" t="s">
        <v>17</v>
      </c>
      <c r="P936" s="1" t="b">
        <f>IF(O936="Yes", 1)</f>
        <v>0</v>
      </c>
      <c r="Q936" s="1"/>
    </row>
    <row r="937" spans="1:17" x14ac:dyDescent="0.25">
      <c r="A937">
        <v>20228</v>
      </c>
      <c r="B937" s="1" t="s">
        <v>31</v>
      </c>
      <c r="C937" s="1" t="s">
        <v>32</v>
      </c>
      <c r="D937" s="2">
        <v>100000</v>
      </c>
      <c r="E937" s="2" t="str">
        <f>IF(bike_buyers[[#This Row],[Income]]&lt;40000,"Under 40K", IF(bike_buyers[[#This Row],[Income]]&lt;60000,"40K-59K", IF(bike_buyers[[#This Row],[Income]]&lt;80000,"60K-79K", IF(bike_buyers[[#This Row],[Income]]&lt;100000,"80K-99K","100K+"))))</f>
        <v>100K+</v>
      </c>
      <c r="F937">
        <v>0</v>
      </c>
      <c r="G937" s="1" t="s">
        <v>29</v>
      </c>
      <c r="H937" s="1" t="s">
        <v>27</v>
      </c>
      <c r="I937" s="1" t="s">
        <v>14</v>
      </c>
      <c r="J937">
        <v>0</v>
      </c>
      <c r="K937" s="1" t="s">
        <v>21</v>
      </c>
      <c r="L937" s="1" t="s">
        <v>23</v>
      </c>
      <c r="M937">
        <v>40</v>
      </c>
      <c r="N937" s="1" t="str" cm="1">
        <f t="array" ref="N937">_xlfn.IFS(M937&lt;40, " Adult", M937&lt;60, "Middle Age", M937&gt;=60, "Older Adult")</f>
        <v>Middle Age</v>
      </c>
      <c r="O937" s="1" t="s">
        <v>14</v>
      </c>
      <c r="P937" s="1">
        <f>IF(O937="Yes", 1)</f>
        <v>1</v>
      </c>
      <c r="Q937" s="1"/>
    </row>
    <row r="938" spans="1:17" x14ac:dyDescent="0.25">
      <c r="A938">
        <v>16675</v>
      </c>
      <c r="B938" s="1" t="s">
        <v>34</v>
      </c>
      <c r="C938" s="1" t="s">
        <v>33</v>
      </c>
      <c r="D938" s="2">
        <v>160000</v>
      </c>
      <c r="E938" s="2" t="str">
        <f>IF(bike_buyers[[#This Row],[Income]]&lt;40000,"Under 40K", IF(bike_buyers[[#This Row],[Income]]&lt;60000,"40K-59K", IF(bike_buyers[[#This Row],[Income]]&lt;80000,"60K-79K", IF(bike_buyers[[#This Row],[Income]]&lt;100000,"80K-99K","100K+"))))</f>
        <v>100K+</v>
      </c>
      <c r="F938">
        <v>0</v>
      </c>
      <c r="G938" s="1" t="s">
        <v>29</v>
      </c>
      <c r="H938" s="1" t="s">
        <v>27</v>
      </c>
      <c r="I938" s="1" t="s">
        <v>17</v>
      </c>
      <c r="J938">
        <v>3</v>
      </c>
      <c r="K938" s="1" t="s">
        <v>15</v>
      </c>
      <c r="L938" s="1" t="s">
        <v>23</v>
      </c>
      <c r="M938">
        <v>47</v>
      </c>
      <c r="N938" s="1" t="str" cm="1">
        <f t="array" ref="N938">_xlfn.IFS(M938&lt;40, " Adult", M938&lt;60, "Middle Age", M938&gt;=60, "Older Adult")</f>
        <v>Middle Age</v>
      </c>
      <c r="O938" s="1" t="s">
        <v>14</v>
      </c>
      <c r="P938" s="1">
        <f>IF(O938="Yes", 1)</f>
        <v>1</v>
      </c>
      <c r="Q938" s="1"/>
    </row>
    <row r="939" spans="1:17" x14ac:dyDescent="0.25">
      <c r="A939">
        <v>18160</v>
      </c>
      <c r="B939" s="1" t="s">
        <v>31</v>
      </c>
      <c r="C939" s="1" t="s">
        <v>32</v>
      </c>
      <c r="D939" s="2">
        <v>130000</v>
      </c>
      <c r="E939" s="2" t="str">
        <f>IF(bike_buyers[[#This Row],[Income]]&lt;40000,"Under 40K", IF(bike_buyers[[#This Row],[Income]]&lt;60000,"40K-59K", IF(bike_buyers[[#This Row],[Income]]&lt;80000,"60K-79K", IF(bike_buyers[[#This Row],[Income]]&lt;100000,"80K-99K","100K+"))))</f>
        <v>100K+</v>
      </c>
      <c r="F939">
        <v>3</v>
      </c>
      <c r="G939" s="1" t="s">
        <v>26</v>
      </c>
      <c r="H939" s="1" t="s">
        <v>20</v>
      </c>
      <c r="I939" s="1" t="s">
        <v>14</v>
      </c>
      <c r="J939">
        <v>4</v>
      </c>
      <c r="K939" s="1" t="s">
        <v>22</v>
      </c>
      <c r="L939" s="1" t="s">
        <v>16</v>
      </c>
      <c r="M939">
        <v>51</v>
      </c>
      <c r="N939" s="1" t="str" cm="1">
        <f t="array" ref="N939">_xlfn.IFS(M939&lt;40, " Adult", M939&lt;60, "Middle Age", M939&gt;=60, "Older Adult")</f>
        <v>Middle Age</v>
      </c>
      <c r="O939" s="1" t="s">
        <v>14</v>
      </c>
      <c r="P939" s="1">
        <f>IF(O939="Yes", 1)</f>
        <v>1</v>
      </c>
      <c r="Q939" s="1"/>
    </row>
    <row r="940" spans="1:17" x14ac:dyDescent="0.25">
      <c r="A940">
        <v>15926</v>
      </c>
      <c r="B940" s="1" t="s">
        <v>34</v>
      </c>
      <c r="C940" s="1" t="s">
        <v>33</v>
      </c>
      <c r="D940" s="2">
        <v>120000</v>
      </c>
      <c r="E940" s="2" t="str">
        <f>IF(bike_buyers[[#This Row],[Income]]&lt;40000,"Under 40K", IF(bike_buyers[[#This Row],[Income]]&lt;60000,"40K-59K", IF(bike_buyers[[#This Row],[Income]]&lt;80000,"60K-79K", IF(bike_buyers[[#This Row],[Income]]&lt;100000,"80K-99K","100K+"))))</f>
        <v>100K+</v>
      </c>
      <c r="F940">
        <v>3</v>
      </c>
      <c r="G940" s="1" t="s">
        <v>26</v>
      </c>
      <c r="H940" s="1" t="s">
        <v>20</v>
      </c>
      <c r="I940" s="1" t="s">
        <v>14</v>
      </c>
      <c r="J940">
        <v>4</v>
      </c>
      <c r="K940" s="1" t="s">
        <v>22</v>
      </c>
      <c r="L940" s="1" t="s">
        <v>16</v>
      </c>
      <c r="M940">
        <v>50</v>
      </c>
      <c r="N940" s="1" t="str" cm="1">
        <f t="array" ref="N940">_xlfn.IFS(M940&lt;40, " Adult", M940&lt;60, "Middle Age", M940&gt;=60, "Older Adult")</f>
        <v>Middle Age</v>
      </c>
      <c r="O940" s="1" t="s">
        <v>14</v>
      </c>
      <c r="P940" s="1">
        <f>IF(O940="Yes", 1)</f>
        <v>1</v>
      </c>
      <c r="Q940" s="1"/>
    </row>
    <row r="941" spans="1:17" x14ac:dyDescent="0.25">
      <c r="A941">
        <v>23608</v>
      </c>
      <c r="B941" s="1" t="s">
        <v>31</v>
      </c>
      <c r="C941" s="1" t="s">
        <v>33</v>
      </c>
      <c r="D941" s="2">
        <v>150000</v>
      </c>
      <c r="E941" s="2" t="str">
        <f>IF(bike_buyers[[#This Row],[Income]]&lt;40000,"Under 40K", IF(bike_buyers[[#This Row],[Income]]&lt;60000,"40K-59K", IF(bike_buyers[[#This Row],[Income]]&lt;80000,"60K-79K", IF(bike_buyers[[#This Row],[Income]]&lt;100000,"80K-99K","100K+"))))</f>
        <v>100K+</v>
      </c>
      <c r="F941">
        <v>3</v>
      </c>
      <c r="G941" s="1" t="s">
        <v>26</v>
      </c>
      <c r="H941" s="1" t="s">
        <v>20</v>
      </c>
      <c r="I941" s="1" t="s">
        <v>14</v>
      </c>
      <c r="J941">
        <v>3</v>
      </c>
      <c r="K941" s="1" t="s">
        <v>15</v>
      </c>
      <c r="L941" s="1" t="s">
        <v>16</v>
      </c>
      <c r="M941">
        <v>51</v>
      </c>
      <c r="N941" s="1" t="str" cm="1">
        <f t="array" ref="N941">_xlfn.IFS(M941&lt;40, " Adult", M941&lt;60, "Middle Age", M941&gt;=60, "Older Adult")</f>
        <v>Middle Age</v>
      </c>
      <c r="O941" s="1" t="s">
        <v>14</v>
      </c>
      <c r="P941" s="1">
        <f>IF(O941="Yes", 1)</f>
        <v>1</v>
      </c>
      <c r="Q941" s="1"/>
    </row>
    <row r="942" spans="1:17" x14ac:dyDescent="0.25">
      <c r="A942">
        <v>13082</v>
      </c>
      <c r="B942" s="1" t="s">
        <v>34</v>
      </c>
      <c r="C942" s="1" t="s">
        <v>32</v>
      </c>
      <c r="D942" s="2">
        <v>130000</v>
      </c>
      <c r="E942" s="2" t="str">
        <f>IF(bike_buyers[[#This Row],[Income]]&lt;40000,"Under 40K", IF(bike_buyers[[#This Row],[Income]]&lt;60000,"40K-59K", IF(bike_buyers[[#This Row],[Income]]&lt;80000,"60K-79K", IF(bike_buyers[[#This Row],[Income]]&lt;100000,"80K-99K","100K+"))))</f>
        <v>100K+</v>
      </c>
      <c r="F942">
        <v>0</v>
      </c>
      <c r="G942" s="1" t="s">
        <v>29</v>
      </c>
      <c r="H942" s="1" t="s">
        <v>27</v>
      </c>
      <c r="I942" s="1" t="s">
        <v>14</v>
      </c>
      <c r="J942">
        <v>0</v>
      </c>
      <c r="K942" s="1" t="s">
        <v>21</v>
      </c>
      <c r="L942" s="1" t="s">
        <v>23</v>
      </c>
      <c r="M942">
        <v>48</v>
      </c>
      <c r="N942" s="1" t="str" cm="1">
        <f t="array" ref="N942">_xlfn.IFS(M942&lt;40, " Adult", M942&lt;60, "Middle Age", M942&gt;=60, "Older Adult")</f>
        <v>Middle Age</v>
      </c>
      <c r="O942" s="1" t="s">
        <v>14</v>
      </c>
      <c r="P942" s="1">
        <f>IF(O942="Yes", 1)</f>
        <v>1</v>
      </c>
      <c r="Q942" s="1"/>
    </row>
    <row r="943" spans="1:17" x14ac:dyDescent="0.25">
      <c r="A943">
        <v>12133</v>
      </c>
      <c r="B943" s="1" t="s">
        <v>31</v>
      </c>
      <c r="C943" s="1" t="s">
        <v>33</v>
      </c>
      <c r="D943" s="2">
        <v>130000</v>
      </c>
      <c r="E943" s="2" t="str">
        <f>IF(bike_buyers[[#This Row],[Income]]&lt;40000,"Under 40K", IF(bike_buyers[[#This Row],[Income]]&lt;60000,"40K-59K", IF(bike_buyers[[#This Row],[Income]]&lt;80000,"60K-79K", IF(bike_buyers[[#This Row],[Income]]&lt;100000,"80K-99K","100K+"))))</f>
        <v>100K+</v>
      </c>
      <c r="F943">
        <v>3</v>
      </c>
      <c r="G943" s="1" t="s">
        <v>18</v>
      </c>
      <c r="H943" s="1" t="s">
        <v>20</v>
      </c>
      <c r="I943" s="1" t="s">
        <v>14</v>
      </c>
      <c r="J943">
        <v>3</v>
      </c>
      <c r="K943" s="1" t="s">
        <v>22</v>
      </c>
      <c r="L943" s="1" t="s">
        <v>16</v>
      </c>
      <c r="M943">
        <v>50</v>
      </c>
      <c r="N943" s="1" t="str" cm="1">
        <f t="array" ref="N943">_xlfn.IFS(M943&lt;40, " Adult", M943&lt;60, "Middle Age", M943&gt;=60, "Older Adult")</f>
        <v>Middle Age</v>
      </c>
      <c r="O943" s="1" t="s">
        <v>14</v>
      </c>
      <c r="P943" s="1">
        <f>IF(O943="Yes", 1)</f>
        <v>1</v>
      </c>
      <c r="Q943" s="1"/>
    </row>
    <row r="944" spans="1:17" x14ac:dyDescent="0.25">
      <c r="A944">
        <v>17324</v>
      </c>
      <c r="B944" s="1" t="s">
        <v>31</v>
      </c>
      <c r="C944" s="1" t="s">
        <v>33</v>
      </c>
      <c r="D944" s="2">
        <v>100000</v>
      </c>
      <c r="E944" s="2" t="str">
        <f>IF(bike_buyers[[#This Row],[Income]]&lt;40000,"Under 40K", IF(bike_buyers[[#This Row],[Income]]&lt;60000,"40K-59K", IF(bike_buyers[[#This Row],[Income]]&lt;80000,"60K-79K", IF(bike_buyers[[#This Row],[Income]]&lt;100000,"80K-99K","100K+"))))</f>
        <v>100K+</v>
      </c>
      <c r="F944">
        <v>4</v>
      </c>
      <c r="G944" s="1" t="s">
        <v>12</v>
      </c>
      <c r="H944" s="1" t="s">
        <v>20</v>
      </c>
      <c r="I944" s="1" t="s">
        <v>14</v>
      </c>
      <c r="J944">
        <v>1</v>
      </c>
      <c r="K944" s="1" t="s">
        <v>62</v>
      </c>
      <c r="L944" s="1" t="s">
        <v>23</v>
      </c>
      <c r="M944">
        <v>46</v>
      </c>
      <c r="N944" s="1" t="str" cm="1">
        <f t="array" ref="N944">_xlfn.IFS(M944&lt;40, " Adult", M944&lt;60, "Middle Age", M944&gt;=60, "Older Adult")</f>
        <v>Middle Age</v>
      </c>
      <c r="O944" s="1" t="s">
        <v>17</v>
      </c>
      <c r="P944" s="1" t="b">
        <f>IF(O944="Yes", 1)</f>
        <v>0</v>
      </c>
      <c r="Q944" s="1"/>
    </row>
    <row r="945" spans="1:17" x14ac:dyDescent="0.25">
      <c r="A945">
        <v>18140</v>
      </c>
      <c r="B945" s="1" t="s">
        <v>31</v>
      </c>
      <c r="C945" s="1" t="s">
        <v>32</v>
      </c>
      <c r="D945" s="2">
        <v>130000</v>
      </c>
      <c r="E945" s="2" t="str">
        <f>IF(bike_buyers[[#This Row],[Income]]&lt;40000,"Under 40K", IF(bike_buyers[[#This Row],[Income]]&lt;60000,"40K-59K", IF(bike_buyers[[#This Row],[Income]]&lt;80000,"60K-79K", IF(bike_buyers[[#This Row],[Income]]&lt;100000,"80K-99K","100K+"))))</f>
        <v>100K+</v>
      </c>
      <c r="F945">
        <v>3</v>
      </c>
      <c r="G945" s="1" t="s">
        <v>18</v>
      </c>
      <c r="H945" s="1" t="s">
        <v>20</v>
      </c>
      <c r="I945" s="1" t="s">
        <v>17</v>
      </c>
      <c r="J945">
        <v>3</v>
      </c>
      <c r="K945" s="1" t="s">
        <v>22</v>
      </c>
      <c r="L945" s="1" t="s">
        <v>16</v>
      </c>
      <c r="M945">
        <v>51</v>
      </c>
      <c r="N945" s="1" t="str" cm="1">
        <f t="array" ref="N945">_xlfn.IFS(M945&lt;40, " Adult", M945&lt;60, "Middle Age", M945&gt;=60, "Older Adult")</f>
        <v>Middle Age</v>
      </c>
      <c r="O945" s="1" t="s">
        <v>14</v>
      </c>
      <c r="P945" s="1">
        <f>IF(O945="Yes", 1)</f>
        <v>1</v>
      </c>
      <c r="Q945" s="1"/>
    </row>
    <row r="946" spans="1:17" x14ac:dyDescent="0.25">
      <c r="A946">
        <v>28957</v>
      </c>
      <c r="B946" s="1" t="s">
        <v>34</v>
      </c>
      <c r="C946" s="1" t="s">
        <v>33</v>
      </c>
      <c r="D946" s="2">
        <v>120000</v>
      </c>
      <c r="E946" s="2" t="str">
        <f>IF(bike_buyers[[#This Row],[Income]]&lt;40000,"Under 40K", IF(bike_buyers[[#This Row],[Income]]&lt;60000,"40K-59K", IF(bike_buyers[[#This Row],[Income]]&lt;80000,"60K-79K", IF(bike_buyers[[#This Row],[Income]]&lt;100000,"80K-99K","100K+"))))</f>
        <v>100K+</v>
      </c>
      <c r="F946">
        <v>0</v>
      </c>
      <c r="G946" s="1" t="s">
        <v>28</v>
      </c>
      <c r="H946" s="1" t="s">
        <v>20</v>
      </c>
      <c r="I946" s="1" t="s">
        <v>14</v>
      </c>
      <c r="J946">
        <v>4</v>
      </c>
      <c r="K946" s="1" t="s">
        <v>62</v>
      </c>
      <c r="L946" s="1" t="s">
        <v>23</v>
      </c>
      <c r="M946">
        <v>34</v>
      </c>
      <c r="N946" s="1" t="str" cm="1">
        <f t="array" ref="N946">_xlfn.IFS(M946&lt;40, " Adult", M946&lt;60, "Middle Age", M946&gt;=60, "Older Adult")</f>
        <v xml:space="preserve"> Adult</v>
      </c>
      <c r="O946" s="1" t="s">
        <v>14</v>
      </c>
      <c r="P946" s="1">
        <f>IF(O946="Yes", 1)</f>
        <v>1</v>
      </c>
      <c r="Q946" s="1"/>
    </row>
    <row r="947" spans="1:17" x14ac:dyDescent="0.25">
      <c r="A947">
        <v>25792</v>
      </c>
      <c r="B947" s="1" t="s">
        <v>34</v>
      </c>
      <c r="C947" s="1" t="s">
        <v>33</v>
      </c>
      <c r="D947" s="2">
        <v>110000</v>
      </c>
      <c r="E947" s="2" t="str">
        <f>IF(bike_buyers[[#This Row],[Income]]&lt;40000,"Under 40K", IF(bike_buyers[[#This Row],[Income]]&lt;60000,"40K-59K", IF(bike_buyers[[#This Row],[Income]]&lt;80000,"60K-79K", IF(bike_buyers[[#This Row],[Income]]&lt;100000,"80K-99K","100K+"))))</f>
        <v>100K+</v>
      </c>
      <c r="F947">
        <v>3</v>
      </c>
      <c r="G947" s="1" t="s">
        <v>12</v>
      </c>
      <c r="H947" s="1" t="s">
        <v>27</v>
      </c>
      <c r="I947" s="1" t="s">
        <v>14</v>
      </c>
      <c r="J947">
        <v>4</v>
      </c>
      <c r="K947" s="1" t="s">
        <v>62</v>
      </c>
      <c r="L947" s="1" t="s">
        <v>16</v>
      </c>
      <c r="M947">
        <v>53</v>
      </c>
      <c r="N947" s="1" t="str" cm="1">
        <f t="array" ref="N947">_xlfn.IFS(M947&lt;40, " Adult", M947&lt;60, "Middle Age", M947&gt;=60, "Older Adult")</f>
        <v>Middle Age</v>
      </c>
      <c r="O947" s="1" t="s">
        <v>17</v>
      </c>
      <c r="P947" s="1" t="b">
        <f>IF(O947="Yes", 1)</f>
        <v>0</v>
      </c>
      <c r="Q947" s="1"/>
    </row>
    <row r="948" spans="1:17" x14ac:dyDescent="0.25">
      <c r="A948">
        <v>22821</v>
      </c>
      <c r="B948" s="1" t="s">
        <v>31</v>
      </c>
      <c r="C948" s="1" t="s">
        <v>33</v>
      </c>
      <c r="D948" s="2">
        <v>130000</v>
      </c>
      <c r="E948" s="2" t="str">
        <f>IF(bike_buyers[[#This Row],[Income]]&lt;40000,"Under 40K", IF(bike_buyers[[#This Row],[Income]]&lt;60000,"40K-59K", IF(bike_buyers[[#This Row],[Income]]&lt;80000,"60K-79K", IF(bike_buyers[[#This Row],[Income]]&lt;100000,"80K-99K","100K+"))))</f>
        <v>100K+</v>
      </c>
      <c r="F948">
        <v>3</v>
      </c>
      <c r="G948" s="1" t="s">
        <v>18</v>
      </c>
      <c r="H948" s="1" t="s">
        <v>20</v>
      </c>
      <c r="I948" s="1" t="s">
        <v>14</v>
      </c>
      <c r="J948">
        <v>4</v>
      </c>
      <c r="K948" s="1" t="s">
        <v>15</v>
      </c>
      <c r="L948" s="1" t="s">
        <v>16</v>
      </c>
      <c r="M948">
        <v>52</v>
      </c>
      <c r="N948" s="1" t="str" cm="1">
        <f t="array" ref="N948">_xlfn.IFS(M948&lt;40, " Adult", M948&lt;60, "Middle Age", M948&gt;=60, "Older Adult")</f>
        <v>Middle Age</v>
      </c>
      <c r="O948" s="1" t="s">
        <v>17</v>
      </c>
      <c r="P948" s="1" t="b">
        <f>IF(O948="Yes", 1)</f>
        <v>0</v>
      </c>
      <c r="Q948" s="1"/>
    </row>
    <row r="949" spans="1:17" x14ac:dyDescent="0.25">
      <c r="A949">
        <v>18153</v>
      </c>
      <c r="B949" s="1" t="s">
        <v>31</v>
      </c>
      <c r="C949" s="1" t="s">
        <v>33</v>
      </c>
      <c r="D949" s="2">
        <v>100000</v>
      </c>
      <c r="E949" s="2" t="str">
        <f>IF(bike_buyers[[#This Row],[Income]]&lt;40000,"Under 40K", IF(bike_buyers[[#This Row],[Income]]&lt;60000,"40K-59K", IF(bike_buyers[[#This Row],[Income]]&lt;80000,"60K-79K", IF(bike_buyers[[#This Row],[Income]]&lt;100000,"80K-99K","100K+"))))</f>
        <v>100K+</v>
      </c>
      <c r="F949">
        <v>2</v>
      </c>
      <c r="G949" s="1" t="s">
        <v>12</v>
      </c>
      <c r="H949" s="1" t="s">
        <v>27</v>
      </c>
      <c r="I949" s="1" t="s">
        <v>14</v>
      </c>
      <c r="J949">
        <v>4</v>
      </c>
      <c r="K949" s="1" t="s">
        <v>62</v>
      </c>
      <c r="L949" s="1" t="s">
        <v>16</v>
      </c>
      <c r="M949">
        <v>59</v>
      </c>
      <c r="N949" s="1" t="str" cm="1">
        <f t="array" ref="N949">_xlfn.IFS(M949&lt;40, " Adult", M949&lt;60, "Middle Age", M949&gt;=60, "Older Adult")</f>
        <v>Middle Age</v>
      </c>
      <c r="O949" s="1" t="s">
        <v>17</v>
      </c>
      <c r="P949" s="1" t="b">
        <f>IF(O949="Yes", 1)</f>
        <v>0</v>
      </c>
      <c r="Q949" s="1"/>
    </row>
    <row r="950" spans="1:17" x14ac:dyDescent="0.25">
      <c r="A950">
        <v>24901</v>
      </c>
      <c r="B950" s="1" t="s">
        <v>34</v>
      </c>
      <c r="C950" s="1" t="s">
        <v>32</v>
      </c>
      <c r="D950" s="2">
        <v>110000</v>
      </c>
      <c r="E950" s="2" t="str">
        <f>IF(bike_buyers[[#This Row],[Income]]&lt;40000,"Under 40K", IF(bike_buyers[[#This Row],[Income]]&lt;60000,"40K-59K", IF(bike_buyers[[#This Row],[Income]]&lt;80000,"60K-79K", IF(bike_buyers[[#This Row],[Income]]&lt;100000,"80K-99K","100K+"))))</f>
        <v>100K+</v>
      </c>
      <c r="F950">
        <v>0</v>
      </c>
      <c r="G950" s="1" t="s">
        <v>18</v>
      </c>
      <c r="H950" s="1" t="s">
        <v>27</v>
      </c>
      <c r="I950" s="1" t="s">
        <v>17</v>
      </c>
      <c r="J950">
        <v>3</v>
      </c>
      <c r="K950" s="1" t="s">
        <v>62</v>
      </c>
      <c r="L950" s="1" t="s">
        <v>23</v>
      </c>
      <c r="M950">
        <v>32</v>
      </c>
      <c r="N950" s="1" t="str" cm="1">
        <f t="array" ref="N950">_xlfn.IFS(M950&lt;40, " Adult", M950&lt;60, "Middle Age", M950&gt;=60, "Older Adult")</f>
        <v xml:space="preserve"> Adult</v>
      </c>
      <c r="O950" s="1" t="s">
        <v>14</v>
      </c>
      <c r="P950" s="1">
        <f>IF(O950="Yes", 1)</f>
        <v>1</v>
      </c>
      <c r="Q950" s="1"/>
    </row>
    <row r="951" spans="1:17" x14ac:dyDescent="0.25">
      <c r="A951">
        <v>22204</v>
      </c>
      <c r="B951" s="1" t="s">
        <v>31</v>
      </c>
      <c r="C951" s="1" t="s">
        <v>32</v>
      </c>
      <c r="D951" s="2">
        <v>110000</v>
      </c>
      <c r="E951" s="2" t="str">
        <f>IF(bike_buyers[[#This Row],[Income]]&lt;40000,"Under 40K", IF(bike_buyers[[#This Row],[Income]]&lt;60000,"40K-59K", IF(bike_buyers[[#This Row],[Income]]&lt;80000,"60K-79K", IF(bike_buyers[[#This Row],[Income]]&lt;100000,"80K-99K","100K+"))))</f>
        <v>100K+</v>
      </c>
      <c r="F951">
        <v>4</v>
      </c>
      <c r="G951" s="1" t="s">
        <v>12</v>
      </c>
      <c r="H951" s="1" t="s">
        <v>27</v>
      </c>
      <c r="I951" s="1" t="s">
        <v>14</v>
      </c>
      <c r="J951">
        <v>3</v>
      </c>
      <c r="K951" s="1" t="s">
        <v>21</v>
      </c>
      <c r="L951" s="1" t="s">
        <v>23</v>
      </c>
      <c r="M951">
        <v>48</v>
      </c>
      <c r="N951" s="1" t="str" cm="1">
        <f t="array" ref="N951">_xlfn.IFS(M951&lt;40, " Adult", M951&lt;60, "Middle Age", M951&gt;=60, "Older Adult")</f>
        <v>Middle Age</v>
      </c>
      <c r="O951" s="1" t="s">
        <v>17</v>
      </c>
      <c r="P951" s="1" t="b">
        <f>IF(O951="Yes", 1)</f>
        <v>0</v>
      </c>
      <c r="Q951" s="1"/>
    </row>
    <row r="952" spans="1:17" x14ac:dyDescent="0.25">
      <c r="A952">
        <v>21891</v>
      </c>
      <c r="B952" s="1" t="s">
        <v>31</v>
      </c>
      <c r="C952" s="1" t="s">
        <v>33</v>
      </c>
      <c r="D952" s="2">
        <v>110000</v>
      </c>
      <c r="E952" s="2" t="str">
        <f>IF(bike_buyers[[#This Row],[Income]]&lt;40000,"Under 40K", IF(bike_buyers[[#This Row],[Income]]&lt;60000,"40K-59K", IF(bike_buyers[[#This Row],[Income]]&lt;80000,"60K-79K", IF(bike_buyers[[#This Row],[Income]]&lt;100000,"80K-99K","100K+"))))</f>
        <v>100K+</v>
      </c>
      <c r="F952">
        <v>0</v>
      </c>
      <c r="G952" s="1" t="s">
        <v>26</v>
      </c>
      <c r="H952" s="1" t="s">
        <v>27</v>
      </c>
      <c r="I952" s="1" t="s">
        <v>14</v>
      </c>
      <c r="J952">
        <v>3</v>
      </c>
      <c r="K952" s="1" t="s">
        <v>62</v>
      </c>
      <c r="L952" s="1" t="s">
        <v>23</v>
      </c>
      <c r="M952">
        <v>34</v>
      </c>
      <c r="N952" s="1" t="str" cm="1">
        <f t="array" ref="N952">_xlfn.IFS(M952&lt;40, " Adult", M952&lt;60, "Middle Age", M952&gt;=60, "Older Adult")</f>
        <v xml:space="preserve"> Adult</v>
      </c>
      <c r="O952" s="1" t="s">
        <v>14</v>
      </c>
      <c r="P952" s="1">
        <f>IF(O952="Yes", 1)</f>
        <v>1</v>
      </c>
      <c r="Q952" s="1"/>
    </row>
    <row r="953" spans="1:17" x14ac:dyDescent="0.25">
      <c r="A953">
        <v>14278</v>
      </c>
      <c r="B953" s="1" t="s">
        <v>31</v>
      </c>
      <c r="C953" s="1" t="s">
        <v>33</v>
      </c>
      <c r="D953" s="2">
        <v>130000</v>
      </c>
      <c r="E953" s="2" t="str">
        <f>IF(bike_buyers[[#This Row],[Income]]&lt;40000,"Under 40K", IF(bike_buyers[[#This Row],[Income]]&lt;60000,"40K-59K", IF(bike_buyers[[#This Row],[Income]]&lt;80000,"60K-79K", IF(bike_buyers[[#This Row],[Income]]&lt;100000,"80K-99K","100K+"))))</f>
        <v>100K+</v>
      </c>
      <c r="F953">
        <v>0</v>
      </c>
      <c r="G953" s="1" t="s">
        <v>29</v>
      </c>
      <c r="H953" s="1" t="s">
        <v>27</v>
      </c>
      <c r="I953" s="1" t="s">
        <v>14</v>
      </c>
      <c r="J953">
        <v>1</v>
      </c>
      <c r="K953" s="1" t="s">
        <v>62</v>
      </c>
      <c r="L953" s="1" t="s">
        <v>23</v>
      </c>
      <c r="M953">
        <v>48</v>
      </c>
      <c r="N953" s="1" t="str" cm="1">
        <f t="array" ref="N953">_xlfn.IFS(M953&lt;40, " Adult", M953&lt;60, "Middle Age", M953&gt;=60, "Older Adult")</f>
        <v>Middle Age</v>
      </c>
      <c r="O953" s="1" t="s">
        <v>17</v>
      </c>
      <c r="P953" s="1" t="b">
        <f>IF(O953="Yes", 1)</f>
        <v>0</v>
      </c>
      <c r="Q953" s="1"/>
    </row>
    <row r="954" spans="1:17" x14ac:dyDescent="0.25">
      <c r="A954">
        <v>26385</v>
      </c>
      <c r="B954" s="1" t="s">
        <v>34</v>
      </c>
      <c r="C954" s="1" t="s">
        <v>32</v>
      </c>
      <c r="D954" s="2">
        <v>120000</v>
      </c>
      <c r="E954" s="2" t="str">
        <f>IF(bike_buyers[[#This Row],[Income]]&lt;40000,"Under 40K", IF(bike_buyers[[#This Row],[Income]]&lt;60000,"40K-59K", IF(bike_buyers[[#This Row],[Income]]&lt;80000,"60K-79K", IF(bike_buyers[[#This Row],[Income]]&lt;100000,"80K-99K","100K+"))))</f>
        <v>100K+</v>
      </c>
      <c r="F954">
        <v>3</v>
      </c>
      <c r="G954" s="1" t="s">
        <v>26</v>
      </c>
      <c r="H954" s="1" t="s">
        <v>20</v>
      </c>
      <c r="I954" s="1" t="s">
        <v>17</v>
      </c>
      <c r="J954">
        <v>4</v>
      </c>
      <c r="K954" s="1" t="s">
        <v>22</v>
      </c>
      <c r="L954" s="1" t="s">
        <v>16</v>
      </c>
      <c r="M954">
        <v>50</v>
      </c>
      <c r="N954" s="1" t="str" cm="1">
        <f t="array" ref="N954">_xlfn.IFS(M954&lt;40, " Adult", M954&lt;60, "Middle Age", M954&gt;=60, "Older Adult")</f>
        <v>Middle Age</v>
      </c>
      <c r="O954" s="1" t="s">
        <v>17</v>
      </c>
      <c r="P954" s="1" t="b">
        <f>IF(O954="Yes", 1)</f>
        <v>0</v>
      </c>
      <c r="Q954" s="1"/>
    </row>
    <row r="955" spans="1:17" x14ac:dyDescent="0.25">
      <c r="A955">
        <v>21560</v>
      </c>
      <c r="B955" s="1" t="s">
        <v>31</v>
      </c>
      <c r="C955" s="1" t="s">
        <v>32</v>
      </c>
      <c r="D955" s="2">
        <v>120000</v>
      </c>
      <c r="E955" s="2" t="str">
        <f>IF(bike_buyers[[#This Row],[Income]]&lt;40000,"Under 40K", IF(bike_buyers[[#This Row],[Income]]&lt;60000,"40K-59K", IF(bike_buyers[[#This Row],[Income]]&lt;80000,"60K-79K", IF(bike_buyers[[#This Row],[Income]]&lt;100000,"80K-99K","100K+"))))</f>
        <v>100K+</v>
      </c>
      <c r="F955">
        <v>0</v>
      </c>
      <c r="G955" s="1" t="s">
        <v>28</v>
      </c>
      <c r="H955" s="1" t="s">
        <v>20</v>
      </c>
      <c r="I955" s="1" t="s">
        <v>14</v>
      </c>
      <c r="J955">
        <v>4</v>
      </c>
      <c r="K955" s="1" t="s">
        <v>62</v>
      </c>
      <c r="L955" s="1" t="s">
        <v>23</v>
      </c>
      <c r="M955">
        <v>32</v>
      </c>
      <c r="N955" s="1" t="str" cm="1">
        <f t="array" ref="N955">_xlfn.IFS(M955&lt;40, " Adult", M955&lt;60, "Middle Age", M955&gt;=60, "Older Adult")</f>
        <v xml:space="preserve"> Adult</v>
      </c>
      <c r="O955" s="1" t="s">
        <v>14</v>
      </c>
      <c r="P955" s="1">
        <f>IF(O955="Yes", 1)</f>
        <v>1</v>
      </c>
      <c r="Q955" s="1"/>
    </row>
    <row r="956" spans="1:17" x14ac:dyDescent="0.25">
      <c r="A956">
        <v>13089</v>
      </c>
      <c r="B956" s="1" t="s">
        <v>31</v>
      </c>
      <c r="C956" s="1" t="s">
        <v>33</v>
      </c>
      <c r="D956" s="2">
        <v>120000</v>
      </c>
      <c r="E956" s="2" t="str">
        <f>IF(bike_buyers[[#This Row],[Income]]&lt;40000,"Under 40K", IF(bike_buyers[[#This Row],[Income]]&lt;60000,"40K-59K", IF(bike_buyers[[#This Row],[Income]]&lt;80000,"60K-79K", IF(bike_buyers[[#This Row],[Income]]&lt;100000,"80K-99K","100K+"))))</f>
        <v>100K+</v>
      </c>
      <c r="F956">
        <v>1</v>
      </c>
      <c r="G956" s="1" t="s">
        <v>12</v>
      </c>
      <c r="H956" s="1" t="s">
        <v>27</v>
      </c>
      <c r="I956" s="1" t="s">
        <v>14</v>
      </c>
      <c r="J956">
        <v>2</v>
      </c>
      <c r="K956" s="1" t="s">
        <v>15</v>
      </c>
      <c r="L956" s="1" t="s">
        <v>23</v>
      </c>
      <c r="M956">
        <v>46</v>
      </c>
      <c r="N956" s="1" t="str" cm="1">
        <f t="array" ref="N956">_xlfn.IFS(M956&lt;40, " Adult", M956&lt;60, "Middle Age", M956&gt;=60, "Older Adult")</f>
        <v>Middle Age</v>
      </c>
      <c r="O956" s="1" t="s">
        <v>14</v>
      </c>
      <c r="P956" s="1">
        <f>IF(O956="Yes", 1)</f>
        <v>1</v>
      </c>
      <c r="Q956" s="1"/>
    </row>
    <row r="957" spans="1:17" x14ac:dyDescent="0.25">
      <c r="A957">
        <v>24305</v>
      </c>
      <c r="B957" s="1" t="s">
        <v>34</v>
      </c>
      <c r="C957" s="1" t="s">
        <v>32</v>
      </c>
      <c r="D957" s="2">
        <v>100000</v>
      </c>
      <c r="E957" s="2" t="str">
        <f>IF(bike_buyers[[#This Row],[Income]]&lt;40000,"Under 40K", IF(bike_buyers[[#This Row],[Income]]&lt;60000,"40K-59K", IF(bike_buyers[[#This Row],[Income]]&lt;80000,"60K-79K", IF(bike_buyers[[#This Row],[Income]]&lt;100000,"80K-99K","100K+"))))</f>
        <v>100K+</v>
      </c>
      <c r="F957">
        <v>1</v>
      </c>
      <c r="G957" s="1" t="s">
        <v>12</v>
      </c>
      <c r="H957" s="1" t="s">
        <v>27</v>
      </c>
      <c r="I957" s="1" t="s">
        <v>17</v>
      </c>
      <c r="J957">
        <v>3</v>
      </c>
      <c r="K957" s="1" t="s">
        <v>15</v>
      </c>
      <c r="L957" s="1" t="s">
        <v>23</v>
      </c>
      <c r="M957">
        <v>46</v>
      </c>
      <c r="N957" s="1" t="str" cm="1">
        <f t="array" ref="N957">_xlfn.IFS(M957&lt;40, " Adult", M957&lt;60, "Middle Age", M957&gt;=60, "Older Adult")</f>
        <v>Middle Age</v>
      </c>
      <c r="O957" s="1" t="s">
        <v>14</v>
      </c>
      <c r="P957" s="1">
        <f>IF(O957="Yes", 1)</f>
        <v>1</v>
      </c>
      <c r="Q957" s="1"/>
    </row>
    <row r="958" spans="1:17" x14ac:dyDescent="0.25">
      <c r="A958">
        <v>20339</v>
      </c>
      <c r="B958" s="1" t="s">
        <v>31</v>
      </c>
      <c r="C958" s="1" t="s">
        <v>33</v>
      </c>
      <c r="D958" s="2">
        <v>130000</v>
      </c>
      <c r="E958" s="2" t="str">
        <f>IF(bike_buyers[[#This Row],[Income]]&lt;40000,"Under 40K", IF(bike_buyers[[#This Row],[Income]]&lt;60000,"40K-59K", IF(bike_buyers[[#This Row],[Income]]&lt;80000,"60K-79K", IF(bike_buyers[[#This Row],[Income]]&lt;100000,"80K-99K","100K+"))))</f>
        <v>100K+</v>
      </c>
      <c r="F958">
        <v>1</v>
      </c>
      <c r="G958" s="1" t="s">
        <v>12</v>
      </c>
      <c r="H958" s="1" t="s">
        <v>27</v>
      </c>
      <c r="I958" s="1" t="s">
        <v>14</v>
      </c>
      <c r="J958">
        <v>4</v>
      </c>
      <c r="K958" s="1" t="s">
        <v>21</v>
      </c>
      <c r="L958" s="1" t="s">
        <v>30</v>
      </c>
      <c r="M958">
        <v>44</v>
      </c>
      <c r="N958" s="1" t="str" cm="1">
        <f t="array" ref="N958">_xlfn.IFS(M958&lt;40, " Adult", M958&lt;60, "Middle Age", M958&gt;=60, "Older Adult")</f>
        <v>Middle Age</v>
      </c>
      <c r="O958" s="1" t="s">
        <v>14</v>
      </c>
      <c r="P958" s="1">
        <f>IF(O958="Yes", 1)</f>
        <v>1</v>
      </c>
      <c r="Q958" s="1"/>
    </row>
    <row r="959" spans="1:17" x14ac:dyDescent="0.25">
      <c r="A959">
        <v>15940</v>
      </c>
      <c r="B959" s="1" t="s">
        <v>31</v>
      </c>
      <c r="C959" s="1" t="s">
        <v>32</v>
      </c>
      <c r="D959" s="2">
        <v>100000</v>
      </c>
      <c r="E959" s="2" t="str">
        <f>IF(bike_buyers[[#This Row],[Income]]&lt;40000,"Under 40K", IF(bike_buyers[[#This Row],[Income]]&lt;60000,"40K-59K", IF(bike_buyers[[#This Row],[Income]]&lt;80000,"60K-79K", IF(bike_buyers[[#This Row],[Income]]&lt;100000,"80K-99K","100K+"))))</f>
        <v>100K+</v>
      </c>
      <c r="F959">
        <v>4</v>
      </c>
      <c r="G959" s="1" t="s">
        <v>18</v>
      </c>
      <c r="H959" s="1" t="s">
        <v>20</v>
      </c>
      <c r="I959" s="1" t="s">
        <v>14</v>
      </c>
      <c r="J959">
        <v>4</v>
      </c>
      <c r="K959" s="1" t="s">
        <v>15</v>
      </c>
      <c r="L959" s="1" t="s">
        <v>30</v>
      </c>
      <c r="M959">
        <v>40</v>
      </c>
      <c r="N959" s="1" t="str" cm="1">
        <f t="array" ref="N959">_xlfn.IFS(M959&lt;40, " Adult", M959&lt;60, "Middle Age", M959&gt;=60, "Older Adult")</f>
        <v>Middle Age</v>
      </c>
      <c r="O959" s="1" t="s">
        <v>17</v>
      </c>
      <c r="P959" s="1" t="b">
        <f>IF(O959="Yes", 1)</f>
        <v>0</v>
      </c>
      <c r="Q959" s="1"/>
    </row>
    <row r="960" spans="1:17" x14ac:dyDescent="0.25">
      <c r="A960">
        <v>27638</v>
      </c>
      <c r="B960" s="1" t="s">
        <v>34</v>
      </c>
      <c r="C960" s="1" t="s">
        <v>32</v>
      </c>
      <c r="D960" s="2">
        <v>100000</v>
      </c>
      <c r="E960" s="2" t="str">
        <f>IF(bike_buyers[[#This Row],[Income]]&lt;40000,"Under 40K", IF(bike_buyers[[#This Row],[Income]]&lt;60000,"40K-59K", IF(bike_buyers[[#This Row],[Income]]&lt;80000,"60K-79K", IF(bike_buyers[[#This Row],[Income]]&lt;100000,"80K-99K","100K+"))))</f>
        <v>100K+</v>
      </c>
      <c r="F960">
        <v>1</v>
      </c>
      <c r="G960" s="1" t="s">
        <v>18</v>
      </c>
      <c r="H960" s="1" t="s">
        <v>20</v>
      </c>
      <c r="I960" s="1" t="s">
        <v>17</v>
      </c>
      <c r="J960">
        <v>3</v>
      </c>
      <c r="K960" s="1" t="s">
        <v>25</v>
      </c>
      <c r="L960" s="1" t="s">
        <v>30</v>
      </c>
      <c r="M960">
        <v>44</v>
      </c>
      <c r="N960" s="1" t="str" cm="1">
        <f t="array" ref="N960">_xlfn.IFS(M960&lt;40, " Adult", M960&lt;60, "Middle Age", M960&gt;=60, "Older Adult")</f>
        <v>Middle Age</v>
      </c>
      <c r="O960" s="1" t="s">
        <v>17</v>
      </c>
      <c r="P960" s="1" t="b">
        <f>IF(O960="Yes", 1)</f>
        <v>0</v>
      </c>
      <c r="Q960" s="1"/>
    </row>
    <row r="961" spans="1:17" x14ac:dyDescent="0.25">
      <c r="A961">
        <v>15382</v>
      </c>
      <c r="B961" s="1" t="s">
        <v>31</v>
      </c>
      <c r="C961" s="1" t="s">
        <v>33</v>
      </c>
      <c r="D961" s="2">
        <v>110000</v>
      </c>
      <c r="E961" s="2" t="str">
        <f>IF(bike_buyers[[#This Row],[Income]]&lt;40000,"Under 40K", IF(bike_buyers[[#This Row],[Income]]&lt;60000,"40K-59K", IF(bike_buyers[[#This Row],[Income]]&lt;80000,"60K-79K", IF(bike_buyers[[#This Row],[Income]]&lt;100000,"80K-99K","100K+"))))</f>
        <v>100K+</v>
      </c>
      <c r="F961">
        <v>1</v>
      </c>
      <c r="G961" s="1" t="s">
        <v>12</v>
      </c>
      <c r="H961" s="1" t="s">
        <v>27</v>
      </c>
      <c r="I961" s="1" t="s">
        <v>14</v>
      </c>
      <c r="J961">
        <v>2</v>
      </c>
      <c r="K961" s="1" t="s">
        <v>25</v>
      </c>
      <c r="L961" s="1" t="s">
        <v>30</v>
      </c>
      <c r="M961">
        <v>44</v>
      </c>
      <c r="N961" s="1" t="str" cm="1">
        <f t="array" ref="N961">_xlfn.IFS(M961&lt;40, " Adult", M961&lt;60, "Middle Age", M961&gt;=60, "Older Adult")</f>
        <v>Middle Age</v>
      </c>
      <c r="O961" s="1" t="s">
        <v>17</v>
      </c>
      <c r="P961" s="1" t="b">
        <f>IF(O961="Yes", 1)</f>
        <v>0</v>
      </c>
      <c r="Q961" s="1"/>
    </row>
    <row r="962" spans="1:17" x14ac:dyDescent="0.25">
      <c r="A962">
        <v>24397</v>
      </c>
      <c r="B962" s="1" t="s">
        <v>34</v>
      </c>
      <c r="C962" s="1" t="s">
        <v>32</v>
      </c>
      <c r="D962" s="2">
        <v>120000</v>
      </c>
      <c r="E962" s="2" t="str">
        <f>IF(bike_buyers[[#This Row],[Income]]&lt;40000,"Under 40K", IF(bike_buyers[[#This Row],[Income]]&lt;60000,"40K-59K", IF(bike_buyers[[#This Row],[Income]]&lt;80000,"60K-79K", IF(bike_buyers[[#This Row],[Income]]&lt;100000,"80K-99K","100K+"))))</f>
        <v>100K+</v>
      </c>
      <c r="F962">
        <v>2</v>
      </c>
      <c r="G962" s="1" t="s">
        <v>12</v>
      </c>
      <c r="H962" s="1" t="s">
        <v>27</v>
      </c>
      <c r="I962" s="1" t="s">
        <v>17</v>
      </c>
      <c r="J962">
        <v>4</v>
      </c>
      <c r="K962" s="1" t="s">
        <v>25</v>
      </c>
      <c r="L962" s="1" t="s">
        <v>30</v>
      </c>
      <c r="M962">
        <v>40</v>
      </c>
      <c r="N962" s="1" t="str" cm="1">
        <f t="array" ref="N962">_xlfn.IFS(M962&lt;40, " Adult", M962&lt;60, "Middle Age", M962&gt;=60, "Older Adult")</f>
        <v>Middle Age</v>
      </c>
      <c r="O962" s="1" t="s">
        <v>17</v>
      </c>
      <c r="P962" s="1" t="b">
        <f>IF(O962="Yes", 1)</f>
        <v>0</v>
      </c>
      <c r="Q962" s="1"/>
    </row>
    <row r="963" spans="1:17" x14ac:dyDescent="0.25">
      <c r="A963">
        <v>13453</v>
      </c>
      <c r="B963" s="1" t="s">
        <v>31</v>
      </c>
      <c r="C963" s="1" t="s">
        <v>33</v>
      </c>
      <c r="D963" s="2">
        <v>130000</v>
      </c>
      <c r="E963" s="2" t="str">
        <f>IF(bike_buyers[[#This Row],[Income]]&lt;40000,"Under 40K", IF(bike_buyers[[#This Row],[Income]]&lt;60000,"40K-59K", IF(bike_buyers[[#This Row],[Income]]&lt;80000,"60K-79K", IF(bike_buyers[[#This Row],[Income]]&lt;100000,"80K-99K","100K+"))))</f>
        <v>100K+</v>
      </c>
      <c r="F963">
        <v>3</v>
      </c>
      <c r="G963" s="1" t="s">
        <v>12</v>
      </c>
      <c r="H963" s="1" t="s">
        <v>27</v>
      </c>
      <c r="I963" s="1" t="s">
        <v>14</v>
      </c>
      <c r="J963">
        <v>3</v>
      </c>
      <c r="K963" s="1" t="s">
        <v>15</v>
      </c>
      <c r="L963" s="1" t="s">
        <v>30</v>
      </c>
      <c r="M963">
        <v>45</v>
      </c>
      <c r="N963" s="1" t="str" cm="1">
        <f t="array" ref="N963">_xlfn.IFS(M963&lt;40, " Adult", M963&lt;60, "Middle Age", M963&gt;=60, "Older Adult")</f>
        <v>Middle Age</v>
      </c>
      <c r="O963" s="1" t="s">
        <v>14</v>
      </c>
      <c r="P963" s="1">
        <f>IF(O963="Yes", 1)</f>
        <v>1</v>
      </c>
      <c r="Q963" s="1"/>
    </row>
    <row r="964" spans="1:17" x14ac:dyDescent="0.25">
      <c r="A964">
        <v>16917</v>
      </c>
      <c r="B964" s="1" t="s">
        <v>31</v>
      </c>
      <c r="C964" s="1" t="s">
        <v>32</v>
      </c>
      <c r="D964" s="2">
        <v>120000</v>
      </c>
      <c r="E964" s="2" t="str">
        <f>IF(bike_buyers[[#This Row],[Income]]&lt;40000,"Under 40K", IF(bike_buyers[[#This Row],[Income]]&lt;60000,"40K-59K", IF(bike_buyers[[#This Row],[Income]]&lt;80000,"60K-79K", IF(bike_buyers[[#This Row],[Income]]&lt;100000,"80K-99K","100K+"))))</f>
        <v>100K+</v>
      </c>
      <c r="F964">
        <v>1</v>
      </c>
      <c r="G964" s="1" t="s">
        <v>12</v>
      </c>
      <c r="H964" s="1" t="s">
        <v>27</v>
      </c>
      <c r="I964" s="1" t="s">
        <v>14</v>
      </c>
      <c r="J964">
        <v>4</v>
      </c>
      <c r="K964" s="1" t="s">
        <v>15</v>
      </c>
      <c r="L964" s="1" t="s">
        <v>30</v>
      </c>
      <c r="M964">
        <v>38</v>
      </c>
      <c r="N964" s="1" t="str" cm="1">
        <f t="array" ref="N964">_xlfn.IFS(M964&lt;40, " Adult", M964&lt;60, "Middle Age", M964&gt;=60, "Older Adult")</f>
        <v xml:space="preserve"> Adult</v>
      </c>
      <c r="O964" s="1" t="s">
        <v>17</v>
      </c>
      <c r="P964" s="1" t="b">
        <f>IF(O964="Yes", 1)</f>
        <v>0</v>
      </c>
      <c r="Q964" s="1"/>
    </row>
    <row r="965" spans="1:17" x14ac:dyDescent="0.25">
      <c r="A965">
        <v>15194</v>
      </c>
      <c r="B965" s="1" t="s">
        <v>34</v>
      </c>
      <c r="C965" s="1" t="s">
        <v>32</v>
      </c>
      <c r="D965" s="2">
        <v>120000</v>
      </c>
      <c r="E965" s="2" t="str">
        <f>IF(bike_buyers[[#This Row],[Income]]&lt;40000,"Under 40K", IF(bike_buyers[[#This Row],[Income]]&lt;60000,"40K-59K", IF(bike_buyers[[#This Row],[Income]]&lt;80000,"60K-79K", IF(bike_buyers[[#This Row],[Income]]&lt;100000,"80K-99K","100K+"))))</f>
        <v>100K+</v>
      </c>
      <c r="F965">
        <v>2</v>
      </c>
      <c r="G965" s="1" t="s">
        <v>12</v>
      </c>
      <c r="H965" s="1" t="s">
        <v>27</v>
      </c>
      <c r="I965" s="1" t="s">
        <v>17</v>
      </c>
      <c r="J965">
        <v>3</v>
      </c>
      <c r="K965" s="1" t="s">
        <v>15</v>
      </c>
      <c r="L965" s="1" t="s">
        <v>30</v>
      </c>
      <c r="M965">
        <v>39</v>
      </c>
      <c r="N965" s="1" t="str" cm="1">
        <f t="array" ref="N965">_xlfn.IFS(M965&lt;40, " Adult", M965&lt;60, "Middle Age", M965&gt;=60, "Older Adult")</f>
        <v xml:space="preserve"> Adult</v>
      </c>
      <c r="O965" s="1" t="s">
        <v>14</v>
      </c>
      <c r="P965" s="1">
        <f>IF(O965="Yes", 1)</f>
        <v>1</v>
      </c>
      <c r="Q965" s="1"/>
    </row>
    <row r="966" spans="1:17" x14ac:dyDescent="0.25">
      <c r="A966">
        <v>18935</v>
      </c>
      <c r="B966" s="1" t="s">
        <v>31</v>
      </c>
      <c r="C966" s="1" t="s">
        <v>33</v>
      </c>
      <c r="D966" s="2">
        <v>130000</v>
      </c>
      <c r="E966" s="2" t="str">
        <f>IF(bike_buyers[[#This Row],[Income]]&lt;40000,"Under 40K", IF(bike_buyers[[#This Row],[Income]]&lt;60000,"40K-59K", IF(bike_buyers[[#This Row],[Income]]&lt;80000,"60K-79K", IF(bike_buyers[[#This Row],[Income]]&lt;100000,"80K-99K","100K+"))))</f>
        <v>100K+</v>
      </c>
      <c r="F966">
        <v>0</v>
      </c>
      <c r="G966" s="1" t="s">
        <v>29</v>
      </c>
      <c r="H966" s="1" t="s">
        <v>27</v>
      </c>
      <c r="I966" s="1" t="s">
        <v>14</v>
      </c>
      <c r="J966">
        <v>3</v>
      </c>
      <c r="K966" s="1" t="s">
        <v>25</v>
      </c>
      <c r="L966" s="1" t="s">
        <v>30</v>
      </c>
      <c r="M966">
        <v>40</v>
      </c>
      <c r="N966" s="1" t="str" cm="1">
        <f t="array" ref="N966">_xlfn.IFS(M966&lt;40, " Adult", M966&lt;60, "Middle Age", M966&gt;=60, "Older Adult")</f>
        <v>Middle Age</v>
      </c>
      <c r="O966" s="1" t="s">
        <v>17</v>
      </c>
      <c r="P966" s="1" t="b">
        <f>IF(O966="Yes", 1)</f>
        <v>0</v>
      </c>
      <c r="Q966" s="1"/>
    </row>
    <row r="967" spans="1:17" x14ac:dyDescent="0.25">
      <c r="A967">
        <v>24398</v>
      </c>
      <c r="B967" s="1" t="s">
        <v>31</v>
      </c>
      <c r="C967" s="1" t="s">
        <v>32</v>
      </c>
      <c r="D967" s="2">
        <v>130000</v>
      </c>
      <c r="E967" s="2" t="str">
        <f>IF(bike_buyers[[#This Row],[Income]]&lt;40000,"Under 40K", IF(bike_buyers[[#This Row],[Income]]&lt;60000,"40K-59K", IF(bike_buyers[[#This Row],[Income]]&lt;80000,"60K-79K", IF(bike_buyers[[#This Row],[Income]]&lt;100000,"80K-99K","100K+"))))</f>
        <v>100K+</v>
      </c>
      <c r="F967">
        <v>1</v>
      </c>
      <c r="G967" s="1" t="s">
        <v>29</v>
      </c>
      <c r="H967" s="1" t="s">
        <v>27</v>
      </c>
      <c r="I967" s="1" t="s">
        <v>14</v>
      </c>
      <c r="J967">
        <v>4</v>
      </c>
      <c r="K967" s="1" t="s">
        <v>15</v>
      </c>
      <c r="L967" s="1" t="s">
        <v>30</v>
      </c>
      <c r="M967">
        <v>41</v>
      </c>
      <c r="N967" s="1" t="str" cm="1">
        <f t="array" ref="N967">_xlfn.IFS(M967&lt;40, " Adult", M967&lt;60, "Middle Age", M967&gt;=60, "Older Adult")</f>
        <v>Middle Age</v>
      </c>
      <c r="O967" s="1" t="s">
        <v>17</v>
      </c>
      <c r="P967" s="1" t="b">
        <f>IF(O967="Yes", 1)</f>
        <v>0</v>
      </c>
      <c r="Q967" s="1"/>
    </row>
    <row r="968" spans="1:17" x14ac:dyDescent="0.25">
      <c r="A968">
        <v>25184</v>
      </c>
      <c r="B968" s="1" t="s">
        <v>34</v>
      </c>
      <c r="C968" s="1" t="s">
        <v>32</v>
      </c>
      <c r="D968" s="2">
        <v>110000</v>
      </c>
      <c r="E968" s="2" t="str">
        <f>IF(bike_buyers[[#This Row],[Income]]&lt;40000,"Under 40K", IF(bike_buyers[[#This Row],[Income]]&lt;60000,"40K-59K", IF(bike_buyers[[#This Row],[Income]]&lt;80000,"60K-79K", IF(bike_buyers[[#This Row],[Income]]&lt;100000,"80K-99K","100K+"))))</f>
        <v>100K+</v>
      </c>
      <c r="F968">
        <v>1</v>
      </c>
      <c r="G968" s="1" t="s">
        <v>18</v>
      </c>
      <c r="H968" s="1" t="s">
        <v>20</v>
      </c>
      <c r="I968" s="1" t="s">
        <v>14</v>
      </c>
      <c r="J968">
        <v>4</v>
      </c>
      <c r="K968" s="1" t="s">
        <v>22</v>
      </c>
      <c r="L968" s="1" t="s">
        <v>30</v>
      </c>
      <c r="M968">
        <v>45</v>
      </c>
      <c r="N968" s="1" t="str" cm="1">
        <f t="array" ref="N968">_xlfn.IFS(M968&lt;40, " Adult", M968&lt;60, "Middle Age", M968&gt;=60, "Older Adult")</f>
        <v>Middle Age</v>
      </c>
      <c r="O968" s="1" t="s">
        <v>14</v>
      </c>
      <c r="P968" s="1">
        <f>IF(O968="Yes", 1)</f>
        <v>1</v>
      </c>
      <c r="Q968" s="1"/>
    </row>
    <row r="969" spans="1:17" x14ac:dyDescent="0.25">
      <c r="A969">
        <v>14469</v>
      </c>
      <c r="B969" s="1" t="s">
        <v>31</v>
      </c>
      <c r="C969" s="1" t="s">
        <v>33</v>
      </c>
      <c r="D969" s="2">
        <v>100000</v>
      </c>
      <c r="E969" s="2" t="str">
        <f>IF(bike_buyers[[#This Row],[Income]]&lt;40000,"Under 40K", IF(bike_buyers[[#This Row],[Income]]&lt;60000,"40K-59K", IF(bike_buyers[[#This Row],[Income]]&lt;80000,"60K-79K", IF(bike_buyers[[#This Row],[Income]]&lt;100000,"80K-99K","100K+"))))</f>
        <v>100K+</v>
      </c>
      <c r="F969">
        <v>3</v>
      </c>
      <c r="G969" s="1" t="s">
        <v>18</v>
      </c>
      <c r="H969" s="1" t="s">
        <v>20</v>
      </c>
      <c r="I969" s="1" t="s">
        <v>14</v>
      </c>
      <c r="J969">
        <v>4</v>
      </c>
      <c r="K969" s="1" t="s">
        <v>25</v>
      </c>
      <c r="L969" s="1" t="s">
        <v>30</v>
      </c>
      <c r="M969">
        <v>45</v>
      </c>
      <c r="N969" s="1" t="str" cm="1">
        <f t="array" ref="N969">_xlfn.IFS(M969&lt;40, " Adult", M969&lt;60, "Middle Age", M969&gt;=60, "Older Adult")</f>
        <v>Middle Age</v>
      </c>
      <c r="O969" s="1" t="s">
        <v>17</v>
      </c>
      <c r="P969" s="1" t="b">
        <f>IF(O969="Yes", 1)</f>
        <v>0</v>
      </c>
      <c r="Q969" s="1"/>
    </row>
    <row r="970" spans="1:17" x14ac:dyDescent="0.25">
      <c r="A970">
        <v>11259</v>
      </c>
      <c r="B970" s="1" t="s">
        <v>31</v>
      </c>
      <c r="C970" s="1" t="s">
        <v>33</v>
      </c>
      <c r="D970" s="2">
        <v>100000</v>
      </c>
      <c r="E970" s="2" t="str">
        <f>IF(bike_buyers[[#This Row],[Income]]&lt;40000,"Under 40K", IF(bike_buyers[[#This Row],[Income]]&lt;60000,"40K-59K", IF(bike_buyers[[#This Row],[Income]]&lt;80000,"60K-79K", IF(bike_buyers[[#This Row],[Income]]&lt;100000,"80K-99K","100K+"))))</f>
        <v>100K+</v>
      </c>
      <c r="F970">
        <v>4</v>
      </c>
      <c r="G970" s="1" t="s">
        <v>18</v>
      </c>
      <c r="H970" s="1" t="s">
        <v>20</v>
      </c>
      <c r="I970" s="1" t="s">
        <v>14</v>
      </c>
      <c r="J970">
        <v>4</v>
      </c>
      <c r="K970" s="1" t="s">
        <v>21</v>
      </c>
      <c r="L970" s="1" t="s">
        <v>30</v>
      </c>
      <c r="M970">
        <v>41</v>
      </c>
      <c r="N970" s="1" t="str" cm="1">
        <f t="array" ref="N970">_xlfn.IFS(M970&lt;40, " Adult", M970&lt;60, "Middle Age", M970&gt;=60, "Older Adult")</f>
        <v>Middle Age</v>
      </c>
      <c r="O970" s="1" t="s">
        <v>14</v>
      </c>
      <c r="P970" s="1">
        <f>IF(O970="Yes", 1)</f>
        <v>1</v>
      </c>
      <c r="Q970" s="1"/>
    </row>
    <row r="971" spans="1:17" x14ac:dyDescent="0.25">
      <c r="A971">
        <v>22088</v>
      </c>
      <c r="B971" s="1" t="s">
        <v>31</v>
      </c>
      <c r="C971" s="1" t="s">
        <v>33</v>
      </c>
      <c r="D971" s="2">
        <v>130000</v>
      </c>
      <c r="E971" s="2" t="str">
        <f>IF(bike_buyers[[#This Row],[Income]]&lt;40000,"Under 40K", IF(bike_buyers[[#This Row],[Income]]&lt;60000,"40K-59K", IF(bike_buyers[[#This Row],[Income]]&lt;80000,"60K-79K", IF(bike_buyers[[#This Row],[Income]]&lt;100000,"80K-99K","100K+"))))</f>
        <v>100K+</v>
      </c>
      <c r="F971">
        <v>1</v>
      </c>
      <c r="G971" s="1" t="s">
        <v>12</v>
      </c>
      <c r="H971" s="1" t="s">
        <v>27</v>
      </c>
      <c r="I971" s="1" t="s">
        <v>14</v>
      </c>
      <c r="J971">
        <v>2</v>
      </c>
      <c r="K971" s="1" t="s">
        <v>15</v>
      </c>
      <c r="L971" s="1" t="s">
        <v>30</v>
      </c>
      <c r="M971">
        <v>45</v>
      </c>
      <c r="N971" s="1" t="str" cm="1">
        <f t="array" ref="N971">_xlfn.IFS(M971&lt;40, " Adult", M971&lt;60, "Middle Age", M971&gt;=60, "Older Adult")</f>
        <v>Middle Age</v>
      </c>
      <c r="O971" s="1" t="s">
        <v>14</v>
      </c>
      <c r="P971" s="1">
        <f>IF(O971="Yes", 1)</f>
        <v>1</v>
      </c>
      <c r="Q971" s="1"/>
    </row>
    <row r="972" spans="1:17" x14ac:dyDescent="0.25">
      <c r="A972">
        <v>29237</v>
      </c>
      <c r="B972" s="1" t="s">
        <v>34</v>
      </c>
      <c r="C972" s="1" t="s">
        <v>33</v>
      </c>
      <c r="D972" s="2">
        <v>120000</v>
      </c>
      <c r="E972" s="2" t="str">
        <f>IF(bike_buyers[[#This Row],[Income]]&lt;40000,"Under 40K", IF(bike_buyers[[#This Row],[Income]]&lt;60000,"40K-59K", IF(bike_buyers[[#This Row],[Income]]&lt;80000,"60K-79K", IF(bike_buyers[[#This Row],[Income]]&lt;100000,"80K-99K","100K+"))))</f>
        <v>100K+</v>
      </c>
      <c r="F972">
        <v>4</v>
      </c>
      <c r="G972" s="1" t="s">
        <v>18</v>
      </c>
      <c r="H972" s="1" t="s">
        <v>20</v>
      </c>
      <c r="I972" s="1" t="s">
        <v>14</v>
      </c>
      <c r="J972">
        <v>3</v>
      </c>
      <c r="K972" s="1" t="s">
        <v>22</v>
      </c>
      <c r="L972" s="1" t="s">
        <v>30</v>
      </c>
      <c r="M972">
        <v>43</v>
      </c>
      <c r="N972" s="1" t="str" cm="1">
        <f t="array" ref="N972">_xlfn.IFS(M972&lt;40, " Adult", M972&lt;60, "Middle Age", M972&gt;=60, "Older Adult")</f>
        <v>Middle Age</v>
      </c>
      <c r="O972" s="1" t="s">
        <v>14</v>
      </c>
      <c r="P972" s="1">
        <f>IF(O972="Yes", 1)</f>
        <v>1</v>
      </c>
      <c r="Q972" s="1"/>
    </row>
    <row r="973" spans="1:17" x14ac:dyDescent="0.25">
      <c r="A973">
        <v>14507</v>
      </c>
      <c r="B973" s="1" t="s">
        <v>31</v>
      </c>
      <c r="C973" s="1" t="s">
        <v>32</v>
      </c>
      <c r="D973" s="2">
        <v>100000</v>
      </c>
      <c r="E973" s="2" t="str">
        <f>IF(bike_buyers[[#This Row],[Income]]&lt;40000,"Under 40K", IF(bike_buyers[[#This Row],[Income]]&lt;60000,"40K-59K", IF(bike_buyers[[#This Row],[Income]]&lt;80000,"60K-79K", IF(bike_buyers[[#This Row],[Income]]&lt;100000,"80K-99K","100K+"))))</f>
        <v>100K+</v>
      </c>
      <c r="F973">
        <v>2</v>
      </c>
      <c r="G973" s="1" t="s">
        <v>29</v>
      </c>
      <c r="H973" s="1" t="s">
        <v>27</v>
      </c>
      <c r="I973" s="1" t="s">
        <v>14</v>
      </c>
      <c r="J973">
        <v>3</v>
      </c>
      <c r="K973" s="1" t="s">
        <v>25</v>
      </c>
      <c r="L973" s="1" t="s">
        <v>30</v>
      </c>
      <c r="M973">
        <v>65</v>
      </c>
      <c r="N973" s="1" t="str" cm="1">
        <f t="array" ref="N973">_xlfn.IFS(M973&lt;40, " Adult", M973&lt;60, "Middle Age", M973&gt;=60, "Older Adult")</f>
        <v>Older Adult</v>
      </c>
      <c r="O973" s="1" t="s">
        <v>17</v>
      </c>
      <c r="P973" s="1" t="b">
        <f>IF(O973="Yes", 1)</f>
        <v>0</v>
      </c>
      <c r="Q973" s="1"/>
    </row>
    <row r="974" spans="1:17" x14ac:dyDescent="0.25">
      <c r="A974">
        <v>27637</v>
      </c>
      <c r="B974" s="1" t="s">
        <v>34</v>
      </c>
      <c r="C974" s="1" t="s">
        <v>33</v>
      </c>
      <c r="D974" s="2">
        <v>100000</v>
      </c>
      <c r="E974" s="2" t="str">
        <f>IF(bike_buyers[[#This Row],[Income]]&lt;40000,"Under 40K", IF(bike_buyers[[#This Row],[Income]]&lt;60000,"40K-59K", IF(bike_buyers[[#This Row],[Income]]&lt;80000,"60K-79K", IF(bike_buyers[[#This Row],[Income]]&lt;100000,"80K-99K","100K+"))))</f>
        <v>100K+</v>
      </c>
      <c r="F974">
        <v>1</v>
      </c>
      <c r="G974" s="1" t="s">
        <v>18</v>
      </c>
      <c r="H974" s="1" t="s">
        <v>20</v>
      </c>
      <c r="I974" s="1" t="s">
        <v>17</v>
      </c>
      <c r="J974">
        <v>3</v>
      </c>
      <c r="K974" s="1" t="s">
        <v>25</v>
      </c>
      <c r="L974" s="1" t="s">
        <v>30</v>
      </c>
      <c r="M974">
        <v>44</v>
      </c>
      <c r="N974" s="1" t="str" cm="1">
        <f t="array" ref="N974">_xlfn.IFS(M974&lt;40, " Adult", M974&lt;60, "Middle Age", M974&gt;=60, "Older Adult")</f>
        <v>Middle Age</v>
      </c>
      <c r="O974" s="1" t="s">
        <v>17</v>
      </c>
      <c r="P974" s="1" t="b">
        <f>IF(O974="Yes", 1)</f>
        <v>0</v>
      </c>
      <c r="Q974" s="1"/>
    </row>
    <row r="975" spans="1:17" x14ac:dyDescent="0.25">
      <c r="A975">
        <v>14443</v>
      </c>
      <c r="B975" s="1" t="s">
        <v>31</v>
      </c>
      <c r="C975" s="1" t="s">
        <v>32</v>
      </c>
      <c r="D975" s="2">
        <v>130000</v>
      </c>
      <c r="E975" s="2" t="str">
        <f>IF(bike_buyers[[#This Row],[Income]]&lt;40000,"Under 40K", IF(bike_buyers[[#This Row],[Income]]&lt;60000,"40K-59K", IF(bike_buyers[[#This Row],[Income]]&lt;80000,"60K-79K", IF(bike_buyers[[#This Row],[Income]]&lt;100000,"80K-99K","100K+"))))</f>
        <v>100K+</v>
      </c>
      <c r="F975">
        <v>1</v>
      </c>
      <c r="G975" s="1" t="s">
        <v>29</v>
      </c>
      <c r="H975" s="1" t="s">
        <v>27</v>
      </c>
      <c r="I975" s="1" t="s">
        <v>14</v>
      </c>
      <c r="J975">
        <v>4</v>
      </c>
      <c r="K975" s="1" t="s">
        <v>15</v>
      </c>
      <c r="L975" s="1" t="s">
        <v>30</v>
      </c>
      <c r="M975">
        <v>40</v>
      </c>
      <c r="N975" s="1" t="str" cm="1">
        <f t="array" ref="N975">_xlfn.IFS(M975&lt;40, " Adult", M975&lt;60, "Middle Age", M975&gt;=60, "Older Adult")</f>
        <v>Middle Age</v>
      </c>
      <c r="O975" s="1" t="s">
        <v>17</v>
      </c>
      <c r="P975" s="1" t="b">
        <f>IF(O975="Yes", 1)</f>
        <v>0</v>
      </c>
      <c r="Q975" s="1"/>
    </row>
    <row r="976" spans="1:17" x14ac:dyDescent="0.25">
      <c r="A976">
        <v>18517</v>
      </c>
      <c r="B976" s="1" t="s">
        <v>31</v>
      </c>
      <c r="C976" s="1" t="s">
        <v>32</v>
      </c>
      <c r="D976" s="2">
        <v>100000</v>
      </c>
      <c r="E976" s="2" t="str">
        <f>IF(bike_buyers[[#This Row],[Income]]&lt;40000,"Under 40K", IF(bike_buyers[[#This Row],[Income]]&lt;60000,"40K-59K", IF(bike_buyers[[#This Row],[Income]]&lt;80000,"60K-79K", IF(bike_buyers[[#This Row],[Income]]&lt;100000,"80K-99K","100K+"))))</f>
        <v>100K+</v>
      </c>
      <c r="F976">
        <v>3</v>
      </c>
      <c r="G976" s="1" t="s">
        <v>12</v>
      </c>
      <c r="H976" s="1" t="s">
        <v>27</v>
      </c>
      <c r="I976" s="1" t="s">
        <v>14</v>
      </c>
      <c r="J976">
        <v>4</v>
      </c>
      <c r="K976" s="1" t="s">
        <v>15</v>
      </c>
      <c r="L976" s="1" t="s">
        <v>30</v>
      </c>
      <c r="M976">
        <v>41</v>
      </c>
      <c r="N976" s="1" t="str" cm="1">
        <f t="array" ref="N976">_xlfn.IFS(M976&lt;40, " Adult", M976&lt;60, "Middle Age", M976&gt;=60, "Older Adult")</f>
        <v>Middle Age</v>
      </c>
      <c r="O976" s="1" t="s">
        <v>17</v>
      </c>
      <c r="P976" s="1" t="b">
        <f>IF(O976="Yes", 1)</f>
        <v>0</v>
      </c>
      <c r="Q976" s="1"/>
    </row>
    <row r="977" spans="1:17" x14ac:dyDescent="0.25">
      <c r="A977">
        <v>28269</v>
      </c>
      <c r="B977" s="1" t="s">
        <v>34</v>
      </c>
      <c r="C977" s="1" t="s">
        <v>33</v>
      </c>
      <c r="D977" s="2">
        <v>130000</v>
      </c>
      <c r="E977" s="2" t="str">
        <f>IF(bike_buyers[[#This Row],[Income]]&lt;40000,"Under 40K", IF(bike_buyers[[#This Row],[Income]]&lt;60000,"40K-59K", IF(bike_buyers[[#This Row],[Income]]&lt;80000,"60K-79K", IF(bike_buyers[[#This Row],[Income]]&lt;100000,"80K-99K","100K+"))))</f>
        <v>100K+</v>
      </c>
      <c r="F977">
        <v>1</v>
      </c>
      <c r="G977" s="1" t="s">
        <v>12</v>
      </c>
      <c r="H977" s="1" t="s">
        <v>27</v>
      </c>
      <c r="I977" s="1" t="s">
        <v>17</v>
      </c>
      <c r="J977">
        <v>1</v>
      </c>
      <c r="K977" s="1" t="s">
        <v>21</v>
      </c>
      <c r="L977" s="1" t="s">
        <v>30</v>
      </c>
      <c r="M977">
        <v>45</v>
      </c>
      <c r="N977" s="1" t="str" cm="1">
        <f t="array" ref="N977">_xlfn.IFS(M977&lt;40, " Adult", M977&lt;60, "Middle Age", M977&gt;=60, "Older Adult")</f>
        <v>Middle Age</v>
      </c>
      <c r="O977" s="1" t="s">
        <v>17</v>
      </c>
      <c r="P977" s="1" t="b">
        <f>IF(O977="Yes", 1)</f>
        <v>0</v>
      </c>
      <c r="Q977" s="1"/>
    </row>
    <row r="978" spans="1:17" x14ac:dyDescent="0.25">
      <c r="A978">
        <v>13314</v>
      </c>
      <c r="B978" s="1" t="s">
        <v>31</v>
      </c>
      <c r="C978" s="1" t="s">
        <v>32</v>
      </c>
      <c r="D978" s="2">
        <v>120000</v>
      </c>
      <c r="E978" s="2" t="str">
        <f>IF(bike_buyers[[#This Row],[Income]]&lt;40000,"Under 40K", IF(bike_buyers[[#This Row],[Income]]&lt;60000,"40K-59K", IF(bike_buyers[[#This Row],[Income]]&lt;80000,"60K-79K", IF(bike_buyers[[#This Row],[Income]]&lt;100000,"80K-99K","100K+"))))</f>
        <v>100K+</v>
      </c>
      <c r="F978">
        <v>1</v>
      </c>
      <c r="G978" s="1" t="s">
        <v>26</v>
      </c>
      <c r="H978" s="1" t="s">
        <v>20</v>
      </c>
      <c r="I978" s="1" t="s">
        <v>14</v>
      </c>
      <c r="J978">
        <v>4</v>
      </c>
      <c r="K978" s="1" t="s">
        <v>22</v>
      </c>
      <c r="L978" s="1" t="s">
        <v>30</v>
      </c>
      <c r="M978">
        <v>46</v>
      </c>
      <c r="N978" s="1" t="str" cm="1">
        <f t="array" ref="N978">_xlfn.IFS(M978&lt;40, " Adult", M978&lt;60, "Middle Age", M978&gt;=60, "Older Adult")</f>
        <v>Middle Age</v>
      </c>
      <c r="O978" s="1" t="s">
        <v>14</v>
      </c>
      <c r="P978" s="1">
        <f>IF(O978="Yes", 1)</f>
        <v>1</v>
      </c>
      <c r="Q978" s="1"/>
    </row>
    <row r="979" spans="1:17" x14ac:dyDescent="0.25">
      <c r="A979">
        <v>13287</v>
      </c>
      <c r="B979" s="1" t="s">
        <v>34</v>
      </c>
      <c r="C979" s="1" t="s">
        <v>32</v>
      </c>
      <c r="D979" s="2">
        <v>110000</v>
      </c>
      <c r="E979" s="2" t="str">
        <f>IF(bike_buyers[[#This Row],[Income]]&lt;40000,"Under 40K", IF(bike_buyers[[#This Row],[Income]]&lt;60000,"40K-59K", IF(bike_buyers[[#This Row],[Income]]&lt;80000,"60K-79K", IF(bike_buyers[[#This Row],[Income]]&lt;100000,"80K-99K","100K+"))))</f>
        <v>100K+</v>
      </c>
      <c r="F979">
        <v>4</v>
      </c>
      <c r="G979" s="1" t="s">
        <v>12</v>
      </c>
      <c r="H979" s="1" t="s">
        <v>27</v>
      </c>
      <c r="I979" s="1" t="s">
        <v>14</v>
      </c>
      <c r="J979">
        <v>4</v>
      </c>
      <c r="K979" s="1" t="s">
        <v>22</v>
      </c>
      <c r="L979" s="1" t="s">
        <v>30</v>
      </c>
      <c r="M979">
        <v>42</v>
      </c>
      <c r="N979" s="1" t="str" cm="1">
        <f t="array" ref="N979">_xlfn.IFS(M979&lt;40, " Adult", M979&lt;60, "Middle Age", M979&gt;=60, "Older Adult")</f>
        <v>Middle Age</v>
      </c>
      <c r="O979" s="1" t="s">
        <v>14</v>
      </c>
      <c r="P979" s="1">
        <f>IF(O979="Yes", 1)</f>
        <v>1</v>
      </c>
      <c r="Q979" s="1"/>
    </row>
    <row r="980" spans="1:17" x14ac:dyDescent="0.25">
      <c r="A980">
        <v>11270</v>
      </c>
      <c r="B980" s="1" t="s">
        <v>31</v>
      </c>
      <c r="C980" s="1" t="s">
        <v>32</v>
      </c>
      <c r="D980" s="2">
        <v>130000</v>
      </c>
      <c r="E980" s="2" t="str">
        <f>IF(bike_buyers[[#This Row],[Income]]&lt;40000,"Under 40K", IF(bike_buyers[[#This Row],[Income]]&lt;60000,"40K-59K", IF(bike_buyers[[#This Row],[Income]]&lt;80000,"60K-79K", IF(bike_buyers[[#This Row],[Income]]&lt;100000,"80K-99K","100K+"))))</f>
        <v>100K+</v>
      </c>
      <c r="F980">
        <v>2</v>
      </c>
      <c r="G980" s="1" t="s">
        <v>29</v>
      </c>
      <c r="H980" s="1" t="s">
        <v>27</v>
      </c>
      <c r="I980" s="1" t="s">
        <v>14</v>
      </c>
      <c r="J980">
        <v>3</v>
      </c>
      <c r="K980" s="1" t="s">
        <v>15</v>
      </c>
      <c r="L980" s="1" t="s">
        <v>30</v>
      </c>
      <c r="M980">
        <v>42</v>
      </c>
      <c r="N980" s="1" t="str" cm="1">
        <f t="array" ref="N980">_xlfn.IFS(M980&lt;40, " Adult", M980&lt;60, "Middle Age", M980&gt;=60, "Older Adult")</f>
        <v>Middle Age</v>
      </c>
      <c r="O980" s="1" t="s">
        <v>14</v>
      </c>
      <c r="P980" s="1">
        <f>IF(O980="Yes", 1)</f>
        <v>1</v>
      </c>
      <c r="Q980" s="1"/>
    </row>
    <row r="981" spans="1:17" x14ac:dyDescent="0.25">
      <c r="A981">
        <v>23027</v>
      </c>
      <c r="B981" s="1" t="s">
        <v>34</v>
      </c>
      <c r="C981" s="1" t="s">
        <v>32</v>
      </c>
      <c r="D981" s="2">
        <v>130000</v>
      </c>
      <c r="E981" s="2" t="str">
        <f>IF(bike_buyers[[#This Row],[Income]]&lt;40000,"Under 40K", IF(bike_buyers[[#This Row],[Income]]&lt;60000,"40K-59K", IF(bike_buyers[[#This Row],[Income]]&lt;80000,"60K-79K", IF(bike_buyers[[#This Row],[Income]]&lt;100000,"80K-99K","100K+"))))</f>
        <v>100K+</v>
      </c>
      <c r="F981">
        <v>1</v>
      </c>
      <c r="G981" s="1" t="s">
        <v>12</v>
      </c>
      <c r="H981" s="1" t="s">
        <v>27</v>
      </c>
      <c r="I981" s="1" t="s">
        <v>17</v>
      </c>
      <c r="J981">
        <v>4</v>
      </c>
      <c r="K981" s="1" t="s">
        <v>15</v>
      </c>
      <c r="L981" s="1" t="s">
        <v>30</v>
      </c>
      <c r="M981">
        <v>44</v>
      </c>
      <c r="N981" s="1" t="str" cm="1">
        <f t="array" ref="N981">_xlfn.IFS(M981&lt;40, " Adult", M981&lt;60, "Middle Age", M981&gt;=60, "Older Adult")</f>
        <v>Middle Age</v>
      </c>
      <c r="O981" s="1" t="s">
        <v>17</v>
      </c>
      <c r="P981" s="1" t="b">
        <f>IF(O981="Yes", 1)</f>
        <v>0</v>
      </c>
      <c r="Q981" s="1"/>
    </row>
    <row r="982" spans="1:17" x14ac:dyDescent="0.25">
      <c r="A982">
        <v>16867</v>
      </c>
      <c r="B982" s="1" t="s">
        <v>34</v>
      </c>
      <c r="C982" s="1" t="s">
        <v>33</v>
      </c>
      <c r="D982" s="2">
        <v>130000</v>
      </c>
      <c r="E982" s="2" t="str">
        <f>IF(bike_buyers[[#This Row],[Income]]&lt;40000,"Under 40K", IF(bike_buyers[[#This Row],[Income]]&lt;60000,"40K-59K", IF(bike_buyers[[#This Row],[Income]]&lt;80000,"60K-79K", IF(bike_buyers[[#This Row],[Income]]&lt;100000,"80K-99K","100K+"))))</f>
        <v>100K+</v>
      </c>
      <c r="F982">
        <v>1</v>
      </c>
      <c r="G982" s="1" t="s">
        <v>12</v>
      </c>
      <c r="H982" s="1" t="s">
        <v>27</v>
      </c>
      <c r="I982" s="1" t="s">
        <v>17</v>
      </c>
      <c r="J982">
        <v>3</v>
      </c>
      <c r="K982" s="1" t="s">
        <v>15</v>
      </c>
      <c r="L982" s="1" t="s">
        <v>30</v>
      </c>
      <c r="M982">
        <v>45</v>
      </c>
      <c r="N982" s="1" t="str" cm="1">
        <f t="array" ref="N982">_xlfn.IFS(M982&lt;40, " Adult", M982&lt;60, "Middle Age", M982&gt;=60, "Older Adult")</f>
        <v>Middle Age</v>
      </c>
      <c r="O982" s="1" t="s">
        <v>14</v>
      </c>
      <c r="P982" s="1">
        <f>IF(O982="Yes", 1)</f>
        <v>1</v>
      </c>
      <c r="Q982" s="1"/>
    </row>
    <row r="983" spans="1:17" x14ac:dyDescent="0.25">
      <c r="A983">
        <v>13296</v>
      </c>
      <c r="B983" s="1" t="s">
        <v>31</v>
      </c>
      <c r="C983" s="1" t="s">
        <v>32</v>
      </c>
      <c r="D983" s="2">
        <v>110000</v>
      </c>
      <c r="E983" s="2" t="str">
        <f>IF(bike_buyers[[#This Row],[Income]]&lt;40000,"Under 40K", IF(bike_buyers[[#This Row],[Income]]&lt;60000,"40K-59K", IF(bike_buyers[[#This Row],[Income]]&lt;80000,"60K-79K", IF(bike_buyers[[#This Row],[Income]]&lt;100000,"80K-99K","100K+"))))</f>
        <v>100K+</v>
      </c>
      <c r="F983">
        <v>1</v>
      </c>
      <c r="G983" s="1" t="s">
        <v>12</v>
      </c>
      <c r="H983" s="1" t="s">
        <v>27</v>
      </c>
      <c r="I983" s="1" t="s">
        <v>14</v>
      </c>
      <c r="J983">
        <v>3</v>
      </c>
      <c r="K983" s="1" t="s">
        <v>22</v>
      </c>
      <c r="L983" s="1" t="s">
        <v>30</v>
      </c>
      <c r="M983">
        <v>45</v>
      </c>
      <c r="N983" s="1" t="str" cm="1">
        <f t="array" ref="N983">_xlfn.IFS(M983&lt;40, " Adult", M983&lt;60, "Middle Age", M983&gt;=60, "Older Adult")</f>
        <v>Middle Age</v>
      </c>
      <c r="O983" s="1" t="s">
        <v>17</v>
      </c>
      <c r="P983" s="1" t="b">
        <f>IF(O983="Yes", 1)</f>
        <v>0</v>
      </c>
      <c r="Q983" s="1"/>
    </row>
    <row r="984" spans="1:17" x14ac:dyDescent="0.25">
      <c r="A984">
        <v>15412</v>
      </c>
      <c r="B984" s="1" t="s">
        <v>31</v>
      </c>
      <c r="C984" s="1" t="s">
        <v>32</v>
      </c>
      <c r="D984" s="2">
        <v>130000</v>
      </c>
      <c r="E984" s="2" t="str">
        <f>IF(bike_buyers[[#This Row],[Income]]&lt;40000,"Under 40K", IF(bike_buyers[[#This Row],[Income]]&lt;60000,"40K-59K", IF(bike_buyers[[#This Row],[Income]]&lt;80000,"60K-79K", IF(bike_buyers[[#This Row],[Income]]&lt;100000,"80K-99K","100K+"))))</f>
        <v>100K+</v>
      </c>
      <c r="F984">
        <v>2</v>
      </c>
      <c r="G984" s="1" t="s">
        <v>29</v>
      </c>
      <c r="H984" s="1" t="s">
        <v>27</v>
      </c>
      <c r="I984" s="1" t="s">
        <v>14</v>
      </c>
      <c r="J984">
        <v>3</v>
      </c>
      <c r="K984" s="1" t="s">
        <v>21</v>
      </c>
      <c r="L984" s="1" t="s">
        <v>30</v>
      </c>
      <c r="M984">
        <v>69</v>
      </c>
      <c r="N984" s="1" t="str" cm="1">
        <f t="array" ref="N984">_xlfn.IFS(M984&lt;40, " Adult", M984&lt;60, "Middle Age", M984&gt;=60, "Older Adult")</f>
        <v>Older Adult</v>
      </c>
      <c r="O984" s="1" t="s">
        <v>17</v>
      </c>
      <c r="P984" s="1" t="b">
        <f>IF(O984="Yes", 1)</f>
        <v>0</v>
      </c>
      <c r="Q984" s="1"/>
    </row>
    <row r="985" spans="1:17" x14ac:dyDescent="0.25">
      <c r="A985">
        <v>13313</v>
      </c>
      <c r="B985" s="1" t="s">
        <v>31</v>
      </c>
      <c r="C985" s="1" t="s">
        <v>33</v>
      </c>
      <c r="D985" s="2">
        <v>120000</v>
      </c>
      <c r="E985" s="2" t="str">
        <f>IF(bike_buyers[[#This Row],[Income]]&lt;40000,"Under 40K", IF(bike_buyers[[#This Row],[Income]]&lt;60000,"40K-59K", IF(bike_buyers[[#This Row],[Income]]&lt;80000,"60K-79K", IF(bike_buyers[[#This Row],[Income]]&lt;100000,"80K-99K","100K+"))))</f>
        <v>100K+</v>
      </c>
      <c r="F985">
        <v>1</v>
      </c>
      <c r="G985" s="1" t="s">
        <v>26</v>
      </c>
      <c r="H985" s="1" t="s">
        <v>20</v>
      </c>
      <c r="I985" s="1" t="s">
        <v>17</v>
      </c>
      <c r="J985">
        <v>4</v>
      </c>
      <c r="K985" s="1" t="s">
        <v>21</v>
      </c>
      <c r="L985" s="1" t="s">
        <v>30</v>
      </c>
      <c r="M985">
        <v>45</v>
      </c>
      <c r="N985" s="1" t="str" cm="1">
        <f t="array" ref="N985">_xlfn.IFS(M985&lt;40, " Adult", M985&lt;60, "Middle Age", M985&gt;=60, "Older Adult")</f>
        <v>Middle Age</v>
      </c>
      <c r="O985" s="1" t="s">
        <v>17</v>
      </c>
      <c r="P985" s="1" t="b">
        <f>IF(O985="Yes", 1)</f>
        <v>0</v>
      </c>
      <c r="Q985" s="1"/>
    </row>
    <row r="986" spans="1:17" x14ac:dyDescent="0.25">
      <c r="A986">
        <v>18952</v>
      </c>
      <c r="B986" s="1" t="s">
        <v>31</v>
      </c>
      <c r="C986" s="1" t="s">
        <v>33</v>
      </c>
      <c r="D986" s="2">
        <v>100000</v>
      </c>
      <c r="E986" s="2" t="str">
        <f>IF(bike_buyers[[#This Row],[Income]]&lt;40000,"Under 40K", IF(bike_buyers[[#This Row],[Income]]&lt;60000,"40K-59K", IF(bike_buyers[[#This Row],[Income]]&lt;80000,"60K-79K", IF(bike_buyers[[#This Row],[Income]]&lt;100000,"80K-99K","100K+"))))</f>
        <v>100K+</v>
      </c>
      <c r="F986">
        <v>4</v>
      </c>
      <c r="G986" s="1" t="s">
        <v>12</v>
      </c>
      <c r="H986" s="1" t="s">
        <v>27</v>
      </c>
      <c r="I986" s="1" t="s">
        <v>14</v>
      </c>
      <c r="J986">
        <v>4</v>
      </c>
      <c r="K986" s="1" t="s">
        <v>15</v>
      </c>
      <c r="L986" s="1" t="s">
        <v>30</v>
      </c>
      <c r="M986">
        <v>40</v>
      </c>
      <c r="N986" s="1" t="str" cm="1">
        <f t="array" ref="N986">_xlfn.IFS(M986&lt;40, " Adult", M986&lt;60, "Middle Age", M986&gt;=60, "Older Adult")</f>
        <v>Middle Age</v>
      </c>
      <c r="O986" s="1" t="s">
        <v>17</v>
      </c>
      <c r="P986" s="1" t="b">
        <f>IF(O986="Yes", 1)</f>
        <v>0</v>
      </c>
      <c r="Q986" s="1"/>
    </row>
    <row r="987" spans="1:17" x14ac:dyDescent="0.25">
      <c r="A987">
        <v>29243</v>
      </c>
      <c r="B987" s="1" t="s">
        <v>34</v>
      </c>
      <c r="C987" s="1" t="s">
        <v>32</v>
      </c>
      <c r="D987" s="2">
        <v>110000</v>
      </c>
      <c r="E987" s="2" t="str">
        <f>IF(bike_buyers[[#This Row],[Income]]&lt;40000,"Under 40K", IF(bike_buyers[[#This Row],[Income]]&lt;60000,"40K-59K", IF(bike_buyers[[#This Row],[Income]]&lt;80000,"60K-79K", IF(bike_buyers[[#This Row],[Income]]&lt;100000,"80K-99K","100K+"))))</f>
        <v>100K+</v>
      </c>
      <c r="F987">
        <v>1</v>
      </c>
      <c r="G987" s="1" t="s">
        <v>12</v>
      </c>
      <c r="H987" s="1" t="s">
        <v>27</v>
      </c>
      <c r="I987" s="1" t="s">
        <v>14</v>
      </c>
      <c r="J987">
        <v>1</v>
      </c>
      <c r="K987" s="1" t="s">
        <v>22</v>
      </c>
      <c r="L987" s="1" t="s">
        <v>30</v>
      </c>
      <c r="M987">
        <v>43</v>
      </c>
      <c r="N987" s="1" t="str" cm="1">
        <f t="array" ref="N987">_xlfn.IFS(M987&lt;40, " Adult", M987&lt;60, "Middle Age", M987&gt;=60, "Older Adult")</f>
        <v>Middle Age</v>
      </c>
      <c r="O987" s="1" t="s">
        <v>17</v>
      </c>
      <c r="P987" s="1" t="b">
        <f>IF(O987="Yes", 1)</f>
        <v>0</v>
      </c>
      <c r="Q987" s="1"/>
    </row>
    <row r="988" spans="1:17" x14ac:dyDescent="0.25">
      <c r="A988">
        <v>29048</v>
      </c>
      <c r="B988" s="1" t="s">
        <v>34</v>
      </c>
      <c r="C988" s="1" t="s">
        <v>32</v>
      </c>
      <c r="D988" s="2">
        <v>110000</v>
      </c>
      <c r="E988" s="2" t="str">
        <f>IF(bike_buyers[[#This Row],[Income]]&lt;40000,"Under 40K", IF(bike_buyers[[#This Row],[Income]]&lt;60000,"40K-59K", IF(bike_buyers[[#This Row],[Income]]&lt;80000,"60K-79K", IF(bike_buyers[[#This Row],[Income]]&lt;100000,"80K-99K","100K+"))))</f>
        <v>100K+</v>
      </c>
      <c r="F988">
        <v>2</v>
      </c>
      <c r="G988" s="1" t="s">
        <v>12</v>
      </c>
      <c r="H988" s="1" t="s">
        <v>27</v>
      </c>
      <c r="I988" s="1" t="s">
        <v>17</v>
      </c>
      <c r="J988">
        <v>3</v>
      </c>
      <c r="K988" s="1" t="s">
        <v>15</v>
      </c>
      <c r="L988" s="1" t="s">
        <v>30</v>
      </c>
      <c r="M988">
        <v>37</v>
      </c>
      <c r="N988" s="1" t="str" cm="1">
        <f t="array" ref="N988">_xlfn.IFS(M988&lt;40, " Adult", M988&lt;60, "Middle Age", M988&gt;=60, "Older Adult")</f>
        <v xml:space="preserve"> Adult</v>
      </c>
      <c r="O988" s="1" t="s">
        <v>14</v>
      </c>
      <c r="P988" s="1">
        <f>IF(O988="Yes", 1)</f>
        <v>1</v>
      </c>
      <c r="Q988" s="1"/>
    </row>
    <row r="989" spans="1:17" x14ac:dyDescent="0.25">
      <c r="A989">
        <v>16009</v>
      </c>
      <c r="B989" s="1" t="s">
        <v>34</v>
      </c>
      <c r="C989" s="1" t="s">
        <v>32</v>
      </c>
      <c r="D989" s="2">
        <v>170000</v>
      </c>
      <c r="E989" s="2" t="str">
        <f>IF(bike_buyers[[#This Row],[Income]]&lt;40000,"Under 40K", IF(bike_buyers[[#This Row],[Income]]&lt;60000,"40K-59K", IF(bike_buyers[[#This Row],[Income]]&lt;80000,"60K-79K", IF(bike_buyers[[#This Row],[Income]]&lt;100000,"80K-99K","100K+"))))</f>
        <v>100K+</v>
      </c>
      <c r="F989">
        <v>1</v>
      </c>
      <c r="G989" s="1" t="s">
        <v>29</v>
      </c>
      <c r="H989" s="1" t="s">
        <v>27</v>
      </c>
      <c r="I989" s="1" t="s">
        <v>17</v>
      </c>
      <c r="J989">
        <v>4</v>
      </c>
      <c r="K989" s="1" t="s">
        <v>15</v>
      </c>
      <c r="L989" s="1" t="s">
        <v>30</v>
      </c>
      <c r="M989">
        <v>66</v>
      </c>
      <c r="N989" s="1" t="str" cm="1">
        <f t="array" ref="N989">_xlfn.IFS(M989&lt;40, " Adult", M989&lt;60, "Middle Age", M989&gt;=60, "Older Adult")</f>
        <v>Older Adult</v>
      </c>
      <c r="O989" s="1" t="s">
        <v>17</v>
      </c>
      <c r="P989" s="1" t="b">
        <f>IF(O989="Yes", 1)</f>
        <v>0</v>
      </c>
      <c r="Q989" s="1"/>
    </row>
    <row r="990" spans="1:17" x14ac:dyDescent="0.25">
      <c r="A990">
        <v>12056</v>
      </c>
      <c r="B990" s="1" t="s">
        <v>31</v>
      </c>
      <c r="C990" s="1" t="s">
        <v>32</v>
      </c>
      <c r="D990" s="2">
        <v>120000</v>
      </c>
      <c r="E990" s="2" t="str">
        <f>IF(bike_buyers[[#This Row],[Income]]&lt;40000,"Under 40K", IF(bike_buyers[[#This Row],[Income]]&lt;60000,"40K-59K", IF(bike_buyers[[#This Row],[Income]]&lt;80000,"60K-79K", IF(bike_buyers[[#This Row],[Income]]&lt;100000,"80K-99K","100K+"))))</f>
        <v>100K+</v>
      </c>
      <c r="F990">
        <v>2</v>
      </c>
      <c r="G990" s="1" t="s">
        <v>29</v>
      </c>
      <c r="H990" s="1" t="s">
        <v>27</v>
      </c>
      <c r="I990" s="1" t="s">
        <v>14</v>
      </c>
      <c r="J990">
        <v>3</v>
      </c>
      <c r="K990" s="1" t="s">
        <v>22</v>
      </c>
      <c r="L990" s="1" t="s">
        <v>30</v>
      </c>
      <c r="M990">
        <v>64</v>
      </c>
      <c r="N990" s="1" t="str" cm="1">
        <f t="array" ref="N990">_xlfn.IFS(M990&lt;40, " Adult", M990&lt;60, "Middle Age", M990&gt;=60, "Older Adult")</f>
        <v>Older Adult</v>
      </c>
      <c r="O990" s="1" t="s">
        <v>17</v>
      </c>
      <c r="P990" s="1" t="b">
        <f>IF(O990="Yes", 1)</f>
        <v>0</v>
      </c>
      <c r="Q990" s="1"/>
    </row>
    <row r="991" spans="1:17" x14ac:dyDescent="0.25">
      <c r="A991">
        <v>13176</v>
      </c>
      <c r="B991" s="1" t="s">
        <v>34</v>
      </c>
      <c r="C991" s="1" t="s">
        <v>32</v>
      </c>
      <c r="D991" s="2">
        <v>130000</v>
      </c>
      <c r="E991" s="2" t="str">
        <f>IF(bike_buyers[[#This Row],[Income]]&lt;40000,"Under 40K", IF(bike_buyers[[#This Row],[Income]]&lt;60000,"40K-59K", IF(bike_buyers[[#This Row],[Income]]&lt;80000,"60K-79K", IF(bike_buyers[[#This Row],[Income]]&lt;100000,"80K-99K","100K+"))))</f>
        <v>100K+</v>
      </c>
      <c r="F991">
        <v>0</v>
      </c>
      <c r="G991" s="1" t="s">
        <v>29</v>
      </c>
      <c r="H991" s="1" t="s">
        <v>27</v>
      </c>
      <c r="I991" s="1" t="s">
        <v>17</v>
      </c>
      <c r="J991">
        <v>2</v>
      </c>
      <c r="K991" s="1" t="s">
        <v>15</v>
      </c>
      <c r="L991" s="1" t="s">
        <v>30</v>
      </c>
      <c r="M991">
        <v>38</v>
      </c>
      <c r="N991" s="1" t="str" cm="1">
        <f t="array" ref="N991">_xlfn.IFS(M991&lt;40, " Adult", M991&lt;60, "Middle Age", M991&gt;=60, "Older Adult")</f>
        <v xml:space="preserve"> Adult</v>
      </c>
      <c r="O991" s="1" t="s">
        <v>14</v>
      </c>
      <c r="P991" s="1">
        <f>IF(O991="Yes", 1)</f>
        <v>1</v>
      </c>
      <c r="Q991" s="1"/>
    </row>
    <row r="992" spans="1:17" x14ac:dyDescent="0.25">
      <c r="A992">
        <v>12205</v>
      </c>
      <c r="B992" s="1" t="s">
        <v>34</v>
      </c>
      <c r="C992" s="1" t="s">
        <v>33</v>
      </c>
      <c r="D992" s="2">
        <v>130000</v>
      </c>
      <c r="E992" s="2" t="str">
        <f>IF(bike_buyers[[#This Row],[Income]]&lt;40000,"Under 40K", IF(bike_buyers[[#This Row],[Income]]&lt;60000,"40K-59K", IF(bike_buyers[[#This Row],[Income]]&lt;80000,"60K-79K", IF(bike_buyers[[#This Row],[Income]]&lt;100000,"80K-99K","100K+"))))</f>
        <v>100K+</v>
      </c>
      <c r="F992">
        <v>2</v>
      </c>
      <c r="G992" s="1" t="s">
        <v>12</v>
      </c>
      <c r="H992" s="1" t="s">
        <v>27</v>
      </c>
      <c r="I992" s="1" t="s">
        <v>17</v>
      </c>
      <c r="J992">
        <v>4</v>
      </c>
      <c r="K992" s="1" t="s">
        <v>15</v>
      </c>
      <c r="L992" s="1" t="s">
        <v>30</v>
      </c>
      <c r="M992">
        <v>67</v>
      </c>
      <c r="N992" s="1" t="str" cm="1">
        <f t="array" ref="N992">_xlfn.IFS(M992&lt;40, " Adult", M992&lt;60, "Middle Age", M992&gt;=60, "Older Adult")</f>
        <v>Older Adult</v>
      </c>
      <c r="O992" s="1" t="s">
        <v>17</v>
      </c>
      <c r="P992" s="1" t="b">
        <f>IF(O992="Yes", 1)</f>
        <v>0</v>
      </c>
      <c r="Q992" s="1"/>
    </row>
    <row r="993" spans="1:17" x14ac:dyDescent="0.25">
      <c r="A993">
        <v>26065</v>
      </c>
      <c r="B993" s="1" t="s">
        <v>34</v>
      </c>
      <c r="C993" s="1" t="s">
        <v>33</v>
      </c>
      <c r="D993" s="2">
        <v>110000</v>
      </c>
      <c r="E993" s="2" t="str">
        <f>IF(bike_buyers[[#This Row],[Income]]&lt;40000,"Under 40K", IF(bike_buyers[[#This Row],[Income]]&lt;60000,"40K-59K", IF(bike_buyers[[#This Row],[Income]]&lt;80000,"60K-79K", IF(bike_buyers[[#This Row],[Income]]&lt;100000,"80K-99K","100K+"))))</f>
        <v>100K+</v>
      </c>
      <c r="F993">
        <v>3</v>
      </c>
      <c r="G993" s="1" t="s">
        <v>12</v>
      </c>
      <c r="H993" s="1" t="s">
        <v>27</v>
      </c>
      <c r="I993" s="1" t="s">
        <v>17</v>
      </c>
      <c r="J993">
        <v>4</v>
      </c>
      <c r="K993" s="1" t="s">
        <v>25</v>
      </c>
      <c r="L993" s="1" t="s">
        <v>30</v>
      </c>
      <c r="M993">
        <v>42</v>
      </c>
      <c r="N993" s="1" t="str" cm="1">
        <f t="array" ref="N993">_xlfn.IFS(M993&lt;40, " Adult", M993&lt;60, "Middle Age", M993&gt;=60, "Older Adult")</f>
        <v>Middle Age</v>
      </c>
      <c r="O993" s="1" t="s">
        <v>17</v>
      </c>
      <c r="P993" s="1" t="b">
        <f>IF(O993="Yes", 1)</f>
        <v>0</v>
      </c>
      <c r="Q993" s="1"/>
    </row>
    <row r="994" spans="1:17" x14ac:dyDescent="0.25">
      <c r="A994">
        <v>13415</v>
      </c>
      <c r="B994" s="1" t="s">
        <v>34</v>
      </c>
      <c r="C994" s="1" t="s">
        <v>32</v>
      </c>
      <c r="D994" s="2">
        <v>100000</v>
      </c>
      <c r="E994" s="2" t="str">
        <f>IF(bike_buyers[[#This Row],[Income]]&lt;40000,"Under 40K", IF(bike_buyers[[#This Row],[Income]]&lt;60000,"40K-59K", IF(bike_buyers[[#This Row],[Income]]&lt;80000,"60K-79K", IF(bike_buyers[[#This Row],[Income]]&lt;100000,"80K-99K","100K+"))))</f>
        <v>100K+</v>
      </c>
      <c r="F994">
        <v>1</v>
      </c>
      <c r="G994" s="1" t="s">
        <v>29</v>
      </c>
      <c r="H994" s="1" t="s">
        <v>27</v>
      </c>
      <c r="I994" s="1" t="s">
        <v>14</v>
      </c>
      <c r="J994">
        <v>3</v>
      </c>
      <c r="K994" s="1" t="s">
        <v>21</v>
      </c>
      <c r="L994" s="1" t="s">
        <v>30</v>
      </c>
      <c r="M994">
        <v>73</v>
      </c>
      <c r="N994" s="1" t="str" cm="1">
        <f t="array" ref="N994">_xlfn.IFS(M994&lt;40, " Adult", M994&lt;60, "Middle Age", M994&gt;=60, "Older Adult")</f>
        <v>Older Adult</v>
      </c>
      <c r="O994" s="1" t="s">
        <v>14</v>
      </c>
      <c r="P994" s="1">
        <f>IF(O994="Yes", 1)</f>
        <v>1</v>
      </c>
      <c r="Q994" s="1"/>
    </row>
    <row r="995" spans="1:17" x14ac:dyDescent="0.25">
      <c r="A995">
        <v>22719</v>
      </c>
      <c r="B995" s="1" t="s">
        <v>34</v>
      </c>
      <c r="C995" s="1" t="s">
        <v>32</v>
      </c>
      <c r="D995" s="2">
        <v>110000</v>
      </c>
      <c r="E995" s="2" t="str">
        <f>IF(bike_buyers[[#This Row],[Income]]&lt;40000,"Under 40K", IF(bike_buyers[[#This Row],[Income]]&lt;60000,"40K-59K", IF(bike_buyers[[#This Row],[Income]]&lt;80000,"60K-79K", IF(bike_buyers[[#This Row],[Income]]&lt;100000,"80K-99K","100K+"))))</f>
        <v>100K+</v>
      </c>
      <c r="F995">
        <v>3</v>
      </c>
      <c r="G995" s="1" t="s">
        <v>12</v>
      </c>
      <c r="H995" s="1" t="s">
        <v>27</v>
      </c>
      <c r="I995" s="1" t="s">
        <v>14</v>
      </c>
      <c r="J995">
        <v>4</v>
      </c>
      <c r="K995" s="1" t="s">
        <v>21</v>
      </c>
      <c r="L995" s="1" t="s">
        <v>30</v>
      </c>
      <c r="M995">
        <v>40</v>
      </c>
      <c r="N995" s="1" t="str" cm="1">
        <f t="array" ref="N995">_xlfn.IFS(M995&lt;40, " Adult", M995&lt;60, "Middle Age", M995&gt;=60, "Older Adult")</f>
        <v>Middle Age</v>
      </c>
      <c r="O995" s="1" t="s">
        <v>14</v>
      </c>
      <c r="P995" s="1">
        <f>IF(O995="Yes", 1)</f>
        <v>1</v>
      </c>
      <c r="Q995" s="1"/>
    </row>
    <row r="996" spans="1:17" x14ac:dyDescent="0.25">
      <c r="A996">
        <v>23491</v>
      </c>
      <c r="B996" s="1" t="s">
        <v>34</v>
      </c>
      <c r="C996" s="1" t="s">
        <v>32</v>
      </c>
      <c r="D996" s="2">
        <v>100000</v>
      </c>
      <c r="E996" s="2" t="str">
        <f>IF(bike_buyers[[#This Row],[Income]]&lt;40000,"Under 40K", IF(bike_buyers[[#This Row],[Income]]&lt;60000,"40K-59K", IF(bike_buyers[[#This Row],[Income]]&lt;80000,"60K-79K", IF(bike_buyers[[#This Row],[Income]]&lt;100000,"80K-99K","100K+"))))</f>
        <v>100K+</v>
      </c>
      <c r="F996">
        <v>0</v>
      </c>
      <c r="G996" s="1" t="s">
        <v>18</v>
      </c>
      <c r="H996" s="1" t="s">
        <v>20</v>
      </c>
      <c r="I996" s="1" t="s">
        <v>17</v>
      </c>
      <c r="J996">
        <v>4</v>
      </c>
      <c r="K996" s="1" t="s">
        <v>25</v>
      </c>
      <c r="L996" s="1" t="s">
        <v>30</v>
      </c>
      <c r="M996">
        <v>45</v>
      </c>
      <c r="N996" s="1" t="str" cm="1">
        <f t="array" ref="N996">_xlfn.IFS(M996&lt;40, " Adult", M996&lt;60, "Middle Age", M996&gt;=60, "Older Adult")</f>
        <v>Middle Age</v>
      </c>
      <c r="O996" s="1" t="s">
        <v>17</v>
      </c>
      <c r="P996" s="1" t="b">
        <f>IF(O996="Yes", 1)</f>
        <v>0</v>
      </c>
      <c r="Q996" s="1"/>
    </row>
    <row r="997" spans="1:17" x14ac:dyDescent="0.25">
      <c r="A997">
        <v>16651</v>
      </c>
      <c r="B997" s="1" t="s">
        <v>31</v>
      </c>
      <c r="C997" s="1" t="s">
        <v>33</v>
      </c>
      <c r="D997" s="2">
        <v>120000</v>
      </c>
      <c r="E997" s="2" t="str">
        <f>IF(bike_buyers[[#This Row],[Income]]&lt;40000,"Under 40K", IF(bike_buyers[[#This Row],[Income]]&lt;60000,"40K-59K", IF(bike_buyers[[#This Row],[Income]]&lt;80000,"60K-79K", IF(bike_buyers[[#This Row],[Income]]&lt;100000,"80K-99K","100K+"))))</f>
        <v>100K+</v>
      </c>
      <c r="F997">
        <v>2</v>
      </c>
      <c r="G997" s="1" t="s">
        <v>12</v>
      </c>
      <c r="H997" s="1" t="s">
        <v>27</v>
      </c>
      <c r="I997" s="1" t="s">
        <v>14</v>
      </c>
      <c r="J997">
        <v>3</v>
      </c>
      <c r="K997" s="1" t="s">
        <v>22</v>
      </c>
      <c r="L997" s="1" t="s">
        <v>30</v>
      </c>
      <c r="M997">
        <v>62</v>
      </c>
      <c r="N997" s="1" t="str" cm="1">
        <f t="array" ref="N997">_xlfn.IFS(M997&lt;40, " Adult", M997&lt;60, "Middle Age", M997&gt;=60, "Older Adult")</f>
        <v>Older Adult</v>
      </c>
      <c r="O997" s="1" t="s">
        <v>17</v>
      </c>
      <c r="P997" s="1" t="b">
        <f>IF(O997="Yes", 1)</f>
        <v>0</v>
      </c>
      <c r="Q997" s="1"/>
    </row>
    <row r="998" spans="1:17" x14ac:dyDescent="0.25">
      <c r="A998">
        <v>15982</v>
      </c>
      <c r="B998" s="1" t="s">
        <v>31</v>
      </c>
      <c r="C998" s="1" t="s">
        <v>32</v>
      </c>
      <c r="D998" s="2">
        <v>110000</v>
      </c>
      <c r="E998" s="2" t="str">
        <f>IF(bike_buyers[[#This Row],[Income]]&lt;40000,"Under 40K", IF(bike_buyers[[#This Row],[Income]]&lt;60000,"40K-59K", IF(bike_buyers[[#This Row],[Income]]&lt;80000,"60K-79K", IF(bike_buyers[[#This Row],[Income]]&lt;100000,"80K-99K","100K+"))))</f>
        <v>100K+</v>
      </c>
      <c r="F998">
        <v>5</v>
      </c>
      <c r="G998" s="1" t="s">
        <v>18</v>
      </c>
      <c r="H998" s="1" t="s">
        <v>20</v>
      </c>
      <c r="I998" s="1" t="s">
        <v>14</v>
      </c>
      <c r="J998">
        <v>4</v>
      </c>
      <c r="K998" s="1" t="s">
        <v>21</v>
      </c>
      <c r="L998" s="1" t="s">
        <v>30</v>
      </c>
      <c r="M998">
        <v>46</v>
      </c>
      <c r="N998" s="1" t="str" cm="1">
        <f t="array" ref="N998">_xlfn.IFS(M998&lt;40, " Adult", M998&lt;60, "Middle Age", M998&gt;=60, "Older Adult")</f>
        <v>Middle Age</v>
      </c>
      <c r="O998" s="1" t="s">
        <v>17</v>
      </c>
      <c r="P998" s="1" t="b">
        <f>IF(O998="Yes", 1)</f>
        <v>0</v>
      </c>
      <c r="Q998" s="1"/>
    </row>
    <row r="999" spans="1:17" x14ac:dyDescent="0.25">
      <c r="A999">
        <v>11269</v>
      </c>
      <c r="B999" s="1" t="s">
        <v>31</v>
      </c>
      <c r="C999" s="1" t="s">
        <v>32</v>
      </c>
      <c r="D999" s="2">
        <v>130000</v>
      </c>
      <c r="E999" s="2" t="str">
        <f>IF(bike_buyers[[#This Row],[Income]]&lt;40000,"Under 40K", IF(bike_buyers[[#This Row],[Income]]&lt;60000,"40K-59K", IF(bike_buyers[[#This Row],[Income]]&lt;80000,"60K-79K", IF(bike_buyers[[#This Row],[Income]]&lt;100000,"80K-99K","100K+"))))</f>
        <v>100K+</v>
      </c>
      <c r="F999">
        <v>2</v>
      </c>
      <c r="G999" s="1" t="s">
        <v>29</v>
      </c>
      <c r="H999" s="1" t="s">
        <v>27</v>
      </c>
      <c r="I999" s="1" t="s">
        <v>14</v>
      </c>
      <c r="J999">
        <v>2</v>
      </c>
      <c r="K999" s="1" t="s">
        <v>15</v>
      </c>
      <c r="L999" s="1" t="s">
        <v>30</v>
      </c>
      <c r="M999">
        <v>41</v>
      </c>
      <c r="N999" s="1" t="str" cm="1">
        <f t="array" ref="N999">_xlfn.IFS(M999&lt;40, " Adult", M999&lt;60, "Middle Age", M999&gt;=60, "Older Adult")</f>
        <v>Middle Age</v>
      </c>
      <c r="O999" s="1" t="s">
        <v>17</v>
      </c>
      <c r="P999" s="1" t="b">
        <f>IF(O999="Yes", 1)</f>
        <v>0</v>
      </c>
      <c r="Q999" s="1"/>
    </row>
    <row r="1000" spans="1:17" x14ac:dyDescent="0.25">
      <c r="A1000">
        <v>11292</v>
      </c>
      <c r="B1000" s="1" t="s">
        <v>34</v>
      </c>
      <c r="C1000" s="1" t="s">
        <v>32</v>
      </c>
      <c r="D1000" s="2">
        <v>150000</v>
      </c>
      <c r="E1000" s="2" t="str">
        <f>IF(bike_buyers[[#This Row],[Income]]&lt;40000,"Under 40K", IF(bike_buyers[[#This Row],[Income]]&lt;60000,"40K-59K", IF(bike_buyers[[#This Row],[Income]]&lt;80000,"60K-79K", IF(bike_buyers[[#This Row],[Income]]&lt;100000,"80K-99K","100K+"))))</f>
        <v>100K+</v>
      </c>
      <c r="F1000">
        <v>1</v>
      </c>
      <c r="G1000" s="1" t="s">
        <v>18</v>
      </c>
      <c r="H1000" s="1" t="s">
        <v>20</v>
      </c>
      <c r="I1000" s="1" t="s">
        <v>17</v>
      </c>
      <c r="J1000">
        <v>3</v>
      </c>
      <c r="K1000" s="1" t="s">
        <v>15</v>
      </c>
      <c r="L1000" s="1" t="s">
        <v>30</v>
      </c>
      <c r="M1000">
        <v>44</v>
      </c>
      <c r="N1000" s="1" t="str" cm="1">
        <f t="array" ref="N1000">_xlfn.IFS(M1000&lt;40, " Adult", M1000&lt;60, "Middle Age", M1000&gt;=60, "Older Adult")</f>
        <v>Middle Age</v>
      </c>
      <c r="O1000" s="1" t="s">
        <v>14</v>
      </c>
      <c r="P1000" s="1">
        <f>IF(O1000="Yes", 1)</f>
        <v>1</v>
      </c>
      <c r="Q1000" s="1"/>
    </row>
    <row r="1001" spans="1:17" x14ac:dyDescent="0.25">
      <c r="A1001">
        <v>19664</v>
      </c>
      <c r="B1001" s="1" t="s">
        <v>34</v>
      </c>
      <c r="C1001" s="1" t="s">
        <v>32</v>
      </c>
      <c r="D1001" s="2">
        <v>100000</v>
      </c>
      <c r="E1001" s="2" t="str">
        <f>IF(bike_buyers[[#This Row],[Income]]&lt;40000,"Under 40K", IF(bike_buyers[[#This Row],[Income]]&lt;60000,"40K-59K", IF(bike_buyers[[#This Row],[Income]]&lt;80000,"60K-79K", IF(bike_buyers[[#This Row],[Income]]&lt;100000,"80K-99K","100K+"))))</f>
        <v>100K+</v>
      </c>
      <c r="F1001">
        <v>3</v>
      </c>
      <c r="G1001" s="1" t="s">
        <v>12</v>
      </c>
      <c r="H1001" s="1" t="s">
        <v>27</v>
      </c>
      <c r="I1001" s="1" t="s">
        <v>17</v>
      </c>
      <c r="J1001">
        <v>3</v>
      </c>
      <c r="K1001" s="1" t="s">
        <v>25</v>
      </c>
      <c r="L1001" s="1" t="s">
        <v>30</v>
      </c>
      <c r="M1001">
        <v>38</v>
      </c>
      <c r="N1001" s="1" t="str" cm="1">
        <f t="array" ref="N1001">_xlfn.IFS(M1001&lt;40, " Adult", M1001&lt;60, "Middle Age", M1001&gt;=60, "Older Adult")</f>
        <v xml:space="preserve"> Adult</v>
      </c>
      <c r="O1001" s="1" t="s">
        <v>17</v>
      </c>
      <c r="P1001" s="1" t="b">
        <f>IF(O1001="Yes", 1)</f>
        <v>0</v>
      </c>
      <c r="Q1001" s="1"/>
    </row>
    <row r="1002" spans="1:17" x14ac:dyDescent="0.25">
      <c r="D1002"/>
      <c r="E1002"/>
    </row>
    <row r="1003" spans="1:17" x14ac:dyDescent="0.25">
      <c r="D1003"/>
      <c r="E1003"/>
    </row>
    <row r="1004" spans="1:17" x14ac:dyDescent="0.25">
      <c r="D1004"/>
      <c r="E1004"/>
    </row>
    <row r="1005" spans="1:17" x14ac:dyDescent="0.25">
      <c r="D1005"/>
      <c r="E1005"/>
    </row>
    <row r="1006" spans="1:17" x14ac:dyDescent="0.25">
      <c r="D1006"/>
      <c r="E1006"/>
    </row>
    <row r="1007" spans="1:17" x14ac:dyDescent="0.25">
      <c r="D1007"/>
      <c r="E1007"/>
    </row>
    <row r="1008" spans="1:17" x14ac:dyDescent="0.25">
      <c r="D1008"/>
      <c r="E1008"/>
    </row>
    <row r="1009" spans="4:5" x14ac:dyDescent="0.25">
      <c r="D1009"/>
      <c r="E1009"/>
    </row>
    <row r="1010" spans="4:5" x14ac:dyDescent="0.25">
      <c r="D1010"/>
      <c r="E1010"/>
    </row>
    <row r="1011" spans="4:5" x14ac:dyDescent="0.25">
      <c r="D1011"/>
      <c r="E1011"/>
    </row>
    <row r="1012" spans="4:5" x14ac:dyDescent="0.25">
      <c r="D1012"/>
      <c r="E1012"/>
    </row>
    <row r="1013" spans="4:5" x14ac:dyDescent="0.25">
      <c r="D1013"/>
      <c r="E1013"/>
    </row>
    <row r="1014" spans="4:5" x14ac:dyDescent="0.25">
      <c r="D1014"/>
      <c r="E1014"/>
    </row>
    <row r="1015" spans="4:5" x14ac:dyDescent="0.25">
      <c r="D1015"/>
      <c r="E1015"/>
    </row>
    <row r="1016" spans="4:5" x14ac:dyDescent="0.25">
      <c r="D1016"/>
      <c r="E1016"/>
    </row>
    <row r="1017" spans="4:5" x14ac:dyDescent="0.25">
      <c r="D1017"/>
      <c r="E1017"/>
    </row>
    <row r="1018" spans="4:5" x14ac:dyDescent="0.25">
      <c r="D1018"/>
      <c r="E1018"/>
    </row>
    <row r="1019" spans="4:5" x14ac:dyDescent="0.25">
      <c r="D1019"/>
      <c r="E1019"/>
    </row>
    <row r="1020" spans="4:5" x14ac:dyDescent="0.25">
      <c r="D1020"/>
      <c r="E1020"/>
    </row>
    <row r="1021" spans="4:5" x14ac:dyDescent="0.25">
      <c r="D1021"/>
      <c r="E1021"/>
    </row>
    <row r="1022" spans="4:5" x14ac:dyDescent="0.25">
      <c r="D1022"/>
      <c r="E1022"/>
    </row>
    <row r="1023" spans="4:5" x14ac:dyDescent="0.25">
      <c r="D1023"/>
      <c r="E1023"/>
    </row>
    <row r="1024" spans="4:5" x14ac:dyDescent="0.25">
      <c r="D1024"/>
      <c r="E1024"/>
    </row>
    <row r="1025" spans="4:5" x14ac:dyDescent="0.25">
      <c r="D1025"/>
      <c r="E1025"/>
    </row>
    <row r="1026" spans="4:5" x14ac:dyDescent="0.25">
      <c r="D1026"/>
      <c r="E1026"/>
    </row>
    <row r="1027" spans="4:5" x14ac:dyDescent="0.25">
      <c r="D1027"/>
      <c r="E1027"/>
    </row>
    <row r="1028" spans="4:5" x14ac:dyDescent="0.25">
      <c r="D1028"/>
      <c r="E1028"/>
    </row>
    <row r="1029" spans="4:5" x14ac:dyDescent="0.25">
      <c r="D1029"/>
      <c r="E1029"/>
    </row>
    <row r="1030" spans="4:5" x14ac:dyDescent="0.25">
      <c r="D1030"/>
      <c r="E1030"/>
    </row>
    <row r="1031" spans="4:5" x14ac:dyDescent="0.25">
      <c r="D1031"/>
      <c r="E1031"/>
    </row>
    <row r="1032" spans="4:5" x14ac:dyDescent="0.25">
      <c r="D1032"/>
      <c r="E1032"/>
    </row>
    <row r="1033" spans="4:5" x14ac:dyDescent="0.25">
      <c r="D1033"/>
      <c r="E1033"/>
    </row>
    <row r="1034" spans="4:5" x14ac:dyDescent="0.25">
      <c r="D1034"/>
      <c r="E1034"/>
    </row>
    <row r="1035" spans="4:5" x14ac:dyDescent="0.25">
      <c r="D1035"/>
      <c r="E1035"/>
    </row>
    <row r="1036" spans="4:5" x14ac:dyDescent="0.25">
      <c r="D1036"/>
      <c r="E1036"/>
    </row>
    <row r="1037" spans="4:5" x14ac:dyDescent="0.25">
      <c r="D1037"/>
      <c r="E1037"/>
    </row>
    <row r="1038" spans="4:5" x14ac:dyDescent="0.25">
      <c r="D1038"/>
      <c r="E1038"/>
    </row>
    <row r="1039" spans="4:5" x14ac:dyDescent="0.25">
      <c r="D1039"/>
      <c r="E1039"/>
    </row>
    <row r="1040" spans="4:5" x14ac:dyDescent="0.25">
      <c r="D1040"/>
      <c r="E1040"/>
    </row>
    <row r="1041" spans="4:5" x14ac:dyDescent="0.25">
      <c r="D1041"/>
      <c r="E1041"/>
    </row>
    <row r="1042" spans="4:5" x14ac:dyDescent="0.25">
      <c r="D1042"/>
      <c r="E1042"/>
    </row>
    <row r="1043" spans="4:5" x14ac:dyDescent="0.25">
      <c r="D1043"/>
      <c r="E1043"/>
    </row>
    <row r="1044" spans="4:5" x14ac:dyDescent="0.25">
      <c r="D1044"/>
      <c r="E1044"/>
    </row>
    <row r="1045" spans="4:5" x14ac:dyDescent="0.25">
      <c r="D1045"/>
      <c r="E1045"/>
    </row>
    <row r="1046" spans="4:5" x14ac:dyDescent="0.25">
      <c r="D1046"/>
      <c r="E1046"/>
    </row>
    <row r="1047" spans="4:5" x14ac:dyDescent="0.25">
      <c r="D1047"/>
      <c r="E1047"/>
    </row>
    <row r="1048" spans="4:5" x14ac:dyDescent="0.25">
      <c r="D1048"/>
      <c r="E1048"/>
    </row>
    <row r="1049" spans="4:5" x14ac:dyDescent="0.25">
      <c r="D1049"/>
      <c r="E1049"/>
    </row>
    <row r="1050" spans="4:5" x14ac:dyDescent="0.25">
      <c r="D1050"/>
      <c r="E1050"/>
    </row>
    <row r="1051" spans="4:5" x14ac:dyDescent="0.25">
      <c r="D1051"/>
      <c r="E1051"/>
    </row>
    <row r="1052" spans="4:5" x14ac:dyDescent="0.25">
      <c r="D1052"/>
      <c r="E1052"/>
    </row>
    <row r="1053" spans="4:5" x14ac:dyDescent="0.25">
      <c r="D1053"/>
      <c r="E105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401B-D8CE-478C-B73A-5D2A8D6B89BF}">
  <dimension ref="A1:G78"/>
  <sheetViews>
    <sheetView topLeftCell="A67" workbookViewId="0">
      <selection activeCell="A77" sqref="A77"/>
    </sheetView>
  </sheetViews>
  <sheetFormatPr defaultRowHeight="15" x14ac:dyDescent="0.25"/>
  <cols>
    <col min="1" max="1" width="23.42578125" bestFit="1" customWidth="1"/>
    <col min="2" max="2" width="6.28515625" bestFit="1" customWidth="1"/>
    <col min="3" max="4" width="11.28515625" bestFit="1" customWidth="1"/>
    <col min="5" max="5" width="17.85546875" bestFit="1" customWidth="1"/>
    <col min="6" max="6" width="23" customWidth="1"/>
    <col min="7" max="7" width="23.42578125" bestFit="1" customWidth="1"/>
  </cols>
  <sheetData>
    <row r="1" spans="1:7" x14ac:dyDescent="0.25">
      <c r="A1" t="s">
        <v>47</v>
      </c>
    </row>
    <row r="3" spans="1:7" x14ac:dyDescent="0.25">
      <c r="D3" t="s">
        <v>38</v>
      </c>
      <c r="E3" t="s">
        <v>46</v>
      </c>
      <c r="F3" s="8" t="s">
        <v>39</v>
      </c>
      <c r="G3" s="9" t="s">
        <v>45</v>
      </c>
    </row>
    <row r="4" spans="1:7" x14ac:dyDescent="0.25">
      <c r="D4" s="1">
        <v>1000</v>
      </c>
      <c r="E4" s="7">
        <v>56360</v>
      </c>
      <c r="F4" s="1">
        <v>481</v>
      </c>
      <c r="G4" s="6">
        <f>(F4/GETPIVOTDATA("ID",$D$3))</f>
        <v>0.48099999999999998</v>
      </c>
    </row>
    <row r="5" spans="1:7" x14ac:dyDescent="0.25">
      <c r="A5" s="4" t="s">
        <v>11</v>
      </c>
      <c r="B5" t="s">
        <v>14</v>
      </c>
    </row>
    <row r="7" spans="1:7" x14ac:dyDescent="0.25">
      <c r="A7" t="s">
        <v>39</v>
      </c>
    </row>
    <row r="8" spans="1:7" x14ac:dyDescent="0.25">
      <c r="A8" s="1">
        <v>481</v>
      </c>
    </row>
    <row r="9" spans="1:7" x14ac:dyDescent="0.25">
      <c r="C9">
        <f>GETPIVOTDATA("Count of ID",$D$3)</f>
        <v>1000</v>
      </c>
    </row>
    <row r="13" spans="1:7" x14ac:dyDescent="0.25">
      <c r="A13" s="4" t="s">
        <v>39</v>
      </c>
      <c r="B13" s="4" t="s">
        <v>52</v>
      </c>
    </row>
    <row r="14" spans="1:7" x14ac:dyDescent="0.25">
      <c r="A14" s="4" t="s">
        <v>41</v>
      </c>
      <c r="B14" t="s">
        <v>14</v>
      </c>
      <c r="C14" t="s">
        <v>42</v>
      </c>
    </row>
    <row r="15" spans="1:7" x14ac:dyDescent="0.25">
      <c r="A15" s="5" t="s">
        <v>43</v>
      </c>
      <c r="B15" s="1">
        <v>230</v>
      </c>
      <c r="C15" s="1">
        <v>230</v>
      </c>
    </row>
    <row r="16" spans="1:7" x14ac:dyDescent="0.25">
      <c r="A16" s="5" t="s">
        <v>44</v>
      </c>
      <c r="B16" s="1">
        <v>37</v>
      </c>
      <c r="C16" s="1">
        <v>37</v>
      </c>
    </row>
    <row r="17" spans="1:3" x14ac:dyDescent="0.25">
      <c r="A17" s="5" t="s">
        <v>53</v>
      </c>
      <c r="B17" s="1">
        <v>214</v>
      </c>
      <c r="C17" s="1">
        <v>214</v>
      </c>
    </row>
    <row r="18" spans="1:3" x14ac:dyDescent="0.25">
      <c r="A18" s="5" t="s">
        <v>42</v>
      </c>
      <c r="B18" s="1">
        <v>481</v>
      </c>
      <c r="C18" s="1">
        <v>481</v>
      </c>
    </row>
    <row r="28" spans="1:3" x14ac:dyDescent="0.25">
      <c r="A28" s="4" t="s">
        <v>39</v>
      </c>
      <c r="B28" s="4" t="s">
        <v>52</v>
      </c>
    </row>
    <row r="29" spans="1:3" x14ac:dyDescent="0.25">
      <c r="A29" s="4" t="s">
        <v>41</v>
      </c>
      <c r="B29" t="s">
        <v>14</v>
      </c>
      <c r="C29" t="s">
        <v>42</v>
      </c>
    </row>
    <row r="30" spans="1:3" x14ac:dyDescent="0.25">
      <c r="A30" s="5" t="s">
        <v>33</v>
      </c>
      <c r="B30" s="1">
        <v>239</v>
      </c>
      <c r="C30" s="1">
        <v>239</v>
      </c>
    </row>
    <row r="31" spans="1:3" x14ac:dyDescent="0.25">
      <c r="A31" s="5" t="s">
        <v>32</v>
      </c>
      <c r="B31" s="1">
        <v>242</v>
      </c>
      <c r="C31" s="1">
        <v>242</v>
      </c>
    </row>
    <row r="32" spans="1:3" x14ac:dyDescent="0.25">
      <c r="A32" s="5" t="s">
        <v>42</v>
      </c>
      <c r="B32" s="1">
        <v>481</v>
      </c>
      <c r="C32" s="1">
        <v>481</v>
      </c>
    </row>
    <row r="40" spans="1:3" x14ac:dyDescent="0.25">
      <c r="A40" s="4" t="s">
        <v>38</v>
      </c>
      <c r="B40" s="4" t="s">
        <v>52</v>
      </c>
    </row>
    <row r="41" spans="1:3" x14ac:dyDescent="0.25">
      <c r="A41" s="4" t="s">
        <v>41</v>
      </c>
      <c r="B41" t="s">
        <v>14</v>
      </c>
      <c r="C41" t="s">
        <v>42</v>
      </c>
    </row>
    <row r="42" spans="1:3" x14ac:dyDescent="0.25">
      <c r="A42" s="5" t="s">
        <v>59</v>
      </c>
      <c r="B42" s="1">
        <v>113</v>
      </c>
      <c r="C42" s="1">
        <v>113</v>
      </c>
    </row>
    <row r="43" spans="1:3" x14ac:dyDescent="0.25">
      <c r="A43" s="5" t="s">
        <v>58</v>
      </c>
      <c r="B43" s="1">
        <v>60</v>
      </c>
      <c r="C43" s="1">
        <v>60</v>
      </c>
    </row>
    <row r="44" spans="1:3" x14ac:dyDescent="0.25">
      <c r="A44" s="5" t="s">
        <v>57</v>
      </c>
      <c r="B44" s="1">
        <v>147</v>
      </c>
      <c r="C44" s="1">
        <v>147</v>
      </c>
    </row>
    <row r="45" spans="1:3" x14ac:dyDescent="0.25">
      <c r="A45" s="5" t="s">
        <v>56</v>
      </c>
      <c r="B45" s="1">
        <v>110</v>
      </c>
      <c r="C45" s="1">
        <v>110</v>
      </c>
    </row>
    <row r="46" spans="1:3" x14ac:dyDescent="0.25">
      <c r="A46" s="5" t="s">
        <v>55</v>
      </c>
      <c r="B46" s="1">
        <v>51</v>
      </c>
      <c r="C46" s="1">
        <v>51</v>
      </c>
    </row>
    <row r="47" spans="1:3" x14ac:dyDescent="0.25">
      <c r="A47" s="5" t="s">
        <v>42</v>
      </c>
      <c r="B47" s="1">
        <v>481</v>
      </c>
      <c r="C47" s="1">
        <v>481</v>
      </c>
    </row>
    <row r="58" spans="1:3" x14ac:dyDescent="0.25">
      <c r="A58" s="4" t="s">
        <v>38</v>
      </c>
      <c r="B58" s="4" t="s">
        <v>52</v>
      </c>
    </row>
    <row r="59" spans="1:3" x14ac:dyDescent="0.25">
      <c r="A59" s="4" t="s">
        <v>41</v>
      </c>
      <c r="B59" t="s">
        <v>14</v>
      </c>
      <c r="C59" t="s">
        <v>42</v>
      </c>
    </row>
    <row r="60" spans="1:3" x14ac:dyDescent="0.25">
      <c r="A60" s="5" t="s">
        <v>16</v>
      </c>
      <c r="B60" s="1">
        <v>148</v>
      </c>
      <c r="C60" s="1">
        <v>148</v>
      </c>
    </row>
    <row r="61" spans="1:3" x14ac:dyDescent="0.25">
      <c r="A61" s="5" t="s">
        <v>30</v>
      </c>
      <c r="B61" s="1">
        <v>220</v>
      </c>
      <c r="C61" s="1">
        <v>220</v>
      </c>
    </row>
    <row r="62" spans="1:3" x14ac:dyDescent="0.25">
      <c r="A62" s="5" t="s">
        <v>23</v>
      </c>
      <c r="B62" s="1">
        <v>113</v>
      </c>
      <c r="C62" s="1">
        <v>113</v>
      </c>
    </row>
    <row r="63" spans="1:3" x14ac:dyDescent="0.25">
      <c r="A63" s="5" t="s">
        <v>42</v>
      </c>
      <c r="B63" s="1">
        <v>481</v>
      </c>
      <c r="C63" s="1">
        <v>481</v>
      </c>
    </row>
    <row r="71" spans="1:3" x14ac:dyDescent="0.25">
      <c r="A71" s="4" t="s">
        <v>38</v>
      </c>
      <c r="B71" s="4" t="s">
        <v>52</v>
      </c>
    </row>
    <row r="72" spans="1:3" x14ac:dyDescent="0.25">
      <c r="A72" s="4" t="s">
        <v>41</v>
      </c>
      <c r="B72" t="s">
        <v>14</v>
      </c>
      <c r="C72" t="s">
        <v>42</v>
      </c>
    </row>
    <row r="73" spans="1:3" x14ac:dyDescent="0.25">
      <c r="A73" s="5" t="s">
        <v>15</v>
      </c>
      <c r="B73" s="1">
        <v>200</v>
      </c>
      <c r="C73" s="1">
        <v>200</v>
      </c>
    </row>
    <row r="74" spans="1:3" x14ac:dyDescent="0.25">
      <c r="A74" s="5" t="s">
        <v>25</v>
      </c>
      <c r="B74" s="1">
        <v>77</v>
      </c>
      <c r="C74" s="1">
        <v>77</v>
      </c>
    </row>
    <row r="75" spans="1:3" x14ac:dyDescent="0.25">
      <c r="A75" s="5" t="s">
        <v>21</v>
      </c>
      <c r="B75" s="1">
        <v>95</v>
      </c>
      <c r="C75" s="1">
        <v>95</v>
      </c>
    </row>
    <row r="76" spans="1:3" x14ac:dyDescent="0.25">
      <c r="A76" s="5" t="s">
        <v>22</v>
      </c>
      <c r="B76" s="1">
        <v>76</v>
      </c>
      <c r="C76" s="1">
        <v>76</v>
      </c>
    </row>
    <row r="77" spans="1:3" x14ac:dyDescent="0.25">
      <c r="A77" s="5" t="s">
        <v>62</v>
      </c>
      <c r="B77" s="1">
        <v>33</v>
      </c>
      <c r="C77" s="1">
        <v>33</v>
      </c>
    </row>
    <row r="78" spans="1:3" x14ac:dyDescent="0.25">
      <c r="A78" s="5" t="s">
        <v>42</v>
      </c>
      <c r="B78" s="1">
        <v>481</v>
      </c>
      <c r="C78" s="1">
        <v>481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2208-14F8-42ED-A947-97F289E67003}">
  <dimension ref="A1:N41"/>
  <sheetViews>
    <sheetView tabSelected="1" topLeftCell="A11" zoomScale="78" zoomScaleNormal="78" workbookViewId="0">
      <selection activeCell="P26" sqref="P26"/>
    </sheetView>
  </sheetViews>
  <sheetFormatPr defaultRowHeight="15" x14ac:dyDescent="0.25"/>
  <cols>
    <col min="1" max="1" width="23.85546875" customWidth="1"/>
  </cols>
  <sheetData>
    <row r="1" spans="1:13" ht="46.5" x14ac:dyDescent="0.7">
      <c r="A1" s="18" t="s">
        <v>60</v>
      </c>
      <c r="B1" s="18"/>
      <c r="C1" s="18"/>
      <c r="D1" s="18"/>
      <c r="E1" s="18"/>
      <c r="F1" s="18"/>
      <c r="G1" s="18"/>
      <c r="H1" s="18"/>
      <c r="I1" s="18"/>
      <c r="J1" s="18"/>
      <c r="K1" s="18"/>
      <c r="L1" s="18"/>
      <c r="M1" s="18"/>
    </row>
    <row r="2" spans="1:13" ht="34.5" x14ac:dyDescent="0.55000000000000004">
      <c r="A2" s="17" t="s">
        <v>61</v>
      </c>
      <c r="B2" s="17"/>
      <c r="C2" s="17"/>
      <c r="D2" s="17"/>
      <c r="E2" s="17"/>
      <c r="F2" s="17"/>
      <c r="G2" s="17"/>
      <c r="H2" s="17"/>
      <c r="I2" s="17"/>
      <c r="J2" s="17"/>
      <c r="K2" s="17"/>
      <c r="L2" s="17"/>
      <c r="M2" s="17"/>
    </row>
    <row r="3" spans="1:13" x14ac:dyDescent="0.25">
      <c r="A3" s="10"/>
      <c r="B3" s="3"/>
      <c r="C3" s="3"/>
      <c r="D3" s="3"/>
      <c r="E3" s="3"/>
      <c r="F3" s="3"/>
      <c r="G3" s="3"/>
      <c r="H3" s="3"/>
      <c r="I3" s="3"/>
      <c r="J3" s="3"/>
      <c r="K3" s="3"/>
      <c r="L3" s="3"/>
      <c r="M3" s="3"/>
    </row>
    <row r="4" spans="1:13" ht="18.75" x14ac:dyDescent="0.4">
      <c r="A4" s="14" t="s">
        <v>48</v>
      </c>
      <c r="B4" s="3"/>
      <c r="C4" s="3"/>
      <c r="D4" s="3"/>
      <c r="E4" s="3"/>
      <c r="F4" s="3"/>
      <c r="G4" s="3"/>
      <c r="H4" s="3"/>
      <c r="I4" s="3"/>
      <c r="J4" s="3"/>
      <c r="K4" s="3"/>
      <c r="L4" s="3"/>
      <c r="M4" s="3"/>
    </row>
    <row r="5" spans="1:13" ht="31.5" x14ac:dyDescent="0.6">
      <c r="A5" s="12">
        <f>GETPIVOTDATA("Count of ID",'Pivot Table'!$D$3)</f>
        <v>1000</v>
      </c>
      <c r="B5" s="3"/>
      <c r="C5" s="3"/>
      <c r="D5" s="3"/>
      <c r="E5" s="3"/>
      <c r="F5" s="3"/>
      <c r="G5" s="3"/>
      <c r="H5" s="3"/>
      <c r="I5" s="3"/>
      <c r="J5" s="3"/>
      <c r="K5" s="3"/>
      <c r="L5" s="3"/>
      <c r="M5" s="3"/>
    </row>
    <row r="6" spans="1:13" ht="18.75" x14ac:dyDescent="0.4">
      <c r="A6" s="11"/>
      <c r="B6" s="3"/>
      <c r="C6" s="3"/>
      <c r="D6" s="3"/>
      <c r="E6" s="3"/>
      <c r="F6" s="3"/>
      <c r="G6" s="3"/>
      <c r="H6" s="3"/>
      <c r="I6" s="3"/>
      <c r="J6" s="3"/>
      <c r="K6" s="3"/>
      <c r="L6" s="3"/>
      <c r="M6" s="3"/>
    </row>
    <row r="7" spans="1:13" ht="18.75" x14ac:dyDescent="0.4">
      <c r="A7" s="14" t="s">
        <v>49</v>
      </c>
      <c r="B7" s="3"/>
      <c r="C7" s="3"/>
      <c r="D7" s="3"/>
      <c r="E7" s="3"/>
      <c r="F7" s="3"/>
      <c r="G7" s="3"/>
      <c r="H7" s="3"/>
      <c r="I7" s="3"/>
      <c r="J7" s="3"/>
      <c r="K7" s="3"/>
      <c r="L7" s="3"/>
      <c r="M7" s="3"/>
    </row>
    <row r="8" spans="1:13" ht="31.5" x14ac:dyDescent="0.6">
      <c r="A8" s="12">
        <f>'Pivot Table'!F4</f>
        <v>481</v>
      </c>
      <c r="B8" s="3"/>
      <c r="C8" s="3"/>
      <c r="D8" s="3"/>
      <c r="E8" s="3"/>
      <c r="F8" s="3"/>
      <c r="G8" s="3"/>
      <c r="H8" s="3"/>
      <c r="I8" s="3"/>
      <c r="J8" s="3"/>
      <c r="K8" s="3"/>
      <c r="L8" s="3"/>
      <c r="M8" s="3"/>
    </row>
    <row r="9" spans="1:13" ht="18.75" x14ac:dyDescent="0.4">
      <c r="A9" s="11"/>
      <c r="B9" s="3"/>
      <c r="C9" s="3"/>
      <c r="D9" s="3"/>
      <c r="E9" s="3"/>
      <c r="F9" s="3"/>
      <c r="G9" s="3"/>
      <c r="H9" s="3"/>
      <c r="I9" s="3"/>
      <c r="J9" s="3"/>
      <c r="K9" s="3"/>
      <c r="L9" s="3"/>
      <c r="M9" s="3"/>
    </row>
    <row r="10" spans="1:13" ht="18.75" x14ac:dyDescent="0.4">
      <c r="A10" s="14" t="s">
        <v>50</v>
      </c>
      <c r="B10" s="3"/>
      <c r="C10" s="3"/>
      <c r="D10" s="3"/>
      <c r="E10" s="3"/>
      <c r="F10" s="3"/>
      <c r="G10" s="3"/>
      <c r="H10" s="3"/>
      <c r="I10" s="3"/>
      <c r="J10" s="3"/>
      <c r="K10" s="3"/>
      <c r="L10" s="3"/>
      <c r="M10" s="3"/>
    </row>
    <row r="11" spans="1:13" ht="31.5" x14ac:dyDescent="0.6">
      <c r="A11" s="13">
        <f>'Pivot Table'!G4</f>
        <v>0.48099999999999998</v>
      </c>
      <c r="B11" s="3"/>
      <c r="C11" s="3"/>
      <c r="D11" s="3"/>
      <c r="E11" s="3"/>
      <c r="F11" s="3"/>
      <c r="G11" s="3"/>
      <c r="H11" s="3"/>
      <c r="I11" s="3"/>
      <c r="J11" s="3"/>
      <c r="K11" s="3"/>
      <c r="L11" s="3"/>
      <c r="M11" s="3"/>
    </row>
    <row r="12" spans="1:13" ht="18.75" x14ac:dyDescent="0.4">
      <c r="A12" s="11"/>
      <c r="B12" s="3"/>
      <c r="C12" s="3"/>
      <c r="D12" s="3"/>
      <c r="E12" s="3"/>
      <c r="F12" s="3"/>
      <c r="G12" s="3"/>
      <c r="H12" s="3"/>
      <c r="I12" s="3"/>
      <c r="J12" s="3"/>
      <c r="K12" s="3"/>
      <c r="L12" s="3"/>
      <c r="M12" s="3"/>
    </row>
    <row r="13" spans="1:13" ht="18.75" x14ac:dyDescent="0.4">
      <c r="A13" s="14" t="s">
        <v>51</v>
      </c>
      <c r="B13" s="3"/>
      <c r="C13" s="3"/>
      <c r="D13" s="3"/>
      <c r="E13" s="3"/>
      <c r="F13" s="3"/>
      <c r="G13" s="3"/>
      <c r="H13" s="3"/>
      <c r="I13" s="3"/>
      <c r="J13" s="3"/>
      <c r="K13" s="3"/>
      <c r="L13" s="3"/>
      <c r="M13" s="3"/>
    </row>
    <row r="14" spans="1:13" ht="31.5" x14ac:dyDescent="0.6">
      <c r="A14" s="12">
        <f>GETPIVOTDATA("Average of Income",'Pivot Table'!$D$3)</f>
        <v>56360</v>
      </c>
      <c r="B14" s="3"/>
      <c r="C14" s="3"/>
      <c r="D14" s="3"/>
      <c r="E14" s="3"/>
      <c r="F14" s="3"/>
      <c r="G14" s="3"/>
      <c r="H14" s="3"/>
      <c r="I14" s="3"/>
      <c r="J14" s="3"/>
      <c r="K14" s="3"/>
      <c r="L14" s="3"/>
      <c r="M14" s="3"/>
    </row>
    <row r="15" spans="1:13" x14ac:dyDescent="0.25">
      <c r="A15" s="10"/>
      <c r="B15" s="3"/>
      <c r="C15" s="3"/>
      <c r="D15" s="3"/>
      <c r="E15" s="3"/>
      <c r="F15" s="3"/>
      <c r="G15" s="3"/>
      <c r="H15" s="3"/>
      <c r="I15" s="3"/>
      <c r="J15" s="3"/>
      <c r="K15" s="3"/>
      <c r="L15" s="3"/>
      <c r="M15" s="3"/>
    </row>
    <row r="16" spans="1:13" x14ac:dyDescent="0.25">
      <c r="A16" s="10"/>
      <c r="B16" s="3"/>
      <c r="C16" s="3"/>
      <c r="D16" s="3"/>
      <c r="E16" s="3"/>
      <c r="F16" s="3"/>
      <c r="G16" s="3"/>
      <c r="H16" s="3"/>
      <c r="I16" s="3"/>
      <c r="J16" s="3"/>
      <c r="K16" s="3"/>
      <c r="L16" s="3"/>
      <c r="M16" s="3"/>
    </row>
    <row r="17" spans="1:14" x14ac:dyDescent="0.25">
      <c r="A17" s="10"/>
      <c r="B17" s="3"/>
      <c r="C17" s="3"/>
      <c r="D17" s="3"/>
      <c r="E17" s="3"/>
      <c r="F17" s="3"/>
      <c r="G17" s="3"/>
      <c r="H17" s="3"/>
      <c r="I17" s="3"/>
      <c r="J17" s="3"/>
      <c r="K17" s="3"/>
      <c r="L17" s="3"/>
      <c r="M17" s="3"/>
    </row>
    <row r="18" spans="1:14" x14ac:dyDescent="0.25">
      <c r="A18" s="10"/>
      <c r="B18" s="3"/>
      <c r="C18" s="3"/>
      <c r="D18" s="3"/>
      <c r="E18" s="3"/>
      <c r="F18" s="3"/>
      <c r="G18" s="3"/>
      <c r="H18" s="3"/>
      <c r="I18" s="3"/>
      <c r="J18" s="3"/>
      <c r="K18" s="3"/>
      <c r="L18" s="3"/>
      <c r="M18" s="3"/>
    </row>
    <row r="19" spans="1:14" x14ac:dyDescent="0.25">
      <c r="A19" s="10"/>
      <c r="B19" s="3"/>
      <c r="C19" s="3"/>
      <c r="D19" s="3"/>
      <c r="E19" s="3"/>
      <c r="F19" s="3"/>
      <c r="G19" s="3"/>
      <c r="H19" s="3"/>
      <c r="I19" s="3"/>
      <c r="J19" s="3"/>
      <c r="K19" s="3"/>
      <c r="L19" s="3"/>
      <c r="M19" s="3"/>
    </row>
    <row r="20" spans="1:14" x14ac:dyDescent="0.25">
      <c r="A20" s="10"/>
      <c r="B20" s="3"/>
      <c r="C20" s="3"/>
      <c r="D20" s="3"/>
      <c r="E20" s="3"/>
      <c r="F20" s="3"/>
      <c r="G20" s="3"/>
      <c r="H20" s="3"/>
      <c r="I20" s="3"/>
      <c r="J20" s="3"/>
      <c r="K20" s="3"/>
      <c r="L20" s="3"/>
      <c r="M20" s="3"/>
    </row>
    <row r="21" spans="1:14" x14ac:dyDescent="0.25">
      <c r="A21" s="10"/>
      <c r="B21" s="3"/>
      <c r="C21" s="3"/>
      <c r="D21" s="3"/>
      <c r="E21" s="3"/>
      <c r="F21" s="3"/>
      <c r="G21" s="3"/>
      <c r="H21" s="3"/>
      <c r="I21" s="3"/>
      <c r="J21" s="3"/>
      <c r="K21" s="3"/>
      <c r="L21" s="3"/>
      <c r="M21" s="3"/>
    </row>
    <row r="22" spans="1:14" x14ac:dyDescent="0.25">
      <c r="A22" s="10"/>
      <c r="B22" s="3"/>
      <c r="C22" s="3"/>
      <c r="D22" s="3"/>
      <c r="E22" s="3"/>
      <c r="F22" s="3"/>
      <c r="G22" s="3"/>
      <c r="H22" s="3"/>
      <c r="I22" s="3"/>
      <c r="J22" s="3"/>
      <c r="K22" s="3"/>
      <c r="L22" s="3"/>
      <c r="M22" s="3"/>
    </row>
    <row r="23" spans="1:14" x14ac:dyDescent="0.25">
      <c r="A23" s="10"/>
      <c r="B23" s="3"/>
      <c r="C23" s="3"/>
      <c r="D23" s="3"/>
      <c r="E23" s="3"/>
      <c r="F23" s="3"/>
      <c r="G23" s="3"/>
      <c r="H23" s="3"/>
      <c r="I23" s="3"/>
      <c r="J23" s="3"/>
      <c r="K23" s="3"/>
      <c r="L23" s="3"/>
      <c r="M23" s="3"/>
    </row>
    <row r="24" spans="1:14" x14ac:dyDescent="0.25">
      <c r="A24" s="10"/>
      <c r="B24" s="3"/>
      <c r="C24" s="3"/>
      <c r="D24" s="3"/>
      <c r="E24" s="3"/>
      <c r="F24" s="3"/>
      <c r="G24" s="3"/>
      <c r="H24" s="3"/>
      <c r="I24" s="3"/>
      <c r="J24" s="3"/>
      <c r="K24" s="3"/>
      <c r="L24" s="3"/>
      <c r="M24" s="3"/>
    </row>
    <row r="25" spans="1:14" x14ac:dyDescent="0.25">
      <c r="A25" s="10"/>
      <c r="B25" s="3"/>
      <c r="C25" s="3"/>
      <c r="D25" s="3"/>
      <c r="E25" s="3"/>
      <c r="F25" s="3"/>
      <c r="G25" s="3"/>
      <c r="H25" s="3"/>
      <c r="I25" s="3"/>
      <c r="J25" s="3"/>
      <c r="K25" s="3"/>
      <c r="L25" s="3"/>
      <c r="M25" s="3"/>
    </row>
    <row r="26" spans="1:14" x14ac:dyDescent="0.25">
      <c r="A26" s="10"/>
      <c r="B26" s="3"/>
      <c r="C26" s="3"/>
      <c r="D26" s="3"/>
      <c r="E26" s="3"/>
      <c r="F26" s="3"/>
      <c r="G26" s="3"/>
      <c r="H26" s="3"/>
      <c r="I26" s="3"/>
      <c r="J26" s="3"/>
      <c r="K26" s="3"/>
      <c r="L26" s="3"/>
      <c r="M26" s="3"/>
    </row>
    <row r="27" spans="1:14" x14ac:dyDescent="0.25">
      <c r="A27" s="10"/>
      <c r="B27" s="3"/>
      <c r="C27" s="3"/>
      <c r="D27" s="3"/>
      <c r="E27" s="3"/>
      <c r="F27" s="3"/>
      <c r="G27" s="3"/>
      <c r="H27" s="3"/>
      <c r="I27" s="3"/>
      <c r="J27" s="3"/>
      <c r="K27" s="3"/>
      <c r="L27" s="3"/>
      <c r="M27" s="3"/>
    </row>
    <row r="28" spans="1:14" x14ac:dyDescent="0.25">
      <c r="A28" s="10"/>
      <c r="B28" s="3"/>
      <c r="C28" s="3"/>
      <c r="D28" s="3"/>
      <c r="E28" s="3"/>
      <c r="F28" s="3"/>
      <c r="G28" s="3"/>
      <c r="H28" s="3"/>
      <c r="I28" s="3"/>
      <c r="J28" s="3"/>
      <c r="K28" s="3"/>
      <c r="L28" s="3"/>
      <c r="M28" s="3"/>
    </row>
    <row r="29" spans="1:14" x14ac:dyDescent="0.25">
      <c r="A29" s="10"/>
      <c r="B29" s="3"/>
      <c r="C29" s="3"/>
      <c r="D29" s="3"/>
      <c r="E29" s="3"/>
      <c r="F29" s="3"/>
      <c r="G29" s="3"/>
      <c r="H29" s="3"/>
      <c r="I29" s="3"/>
      <c r="J29" s="3"/>
      <c r="K29" s="3"/>
      <c r="L29" s="3"/>
      <c r="M29" s="3"/>
    </row>
    <row r="30" spans="1:14" x14ac:dyDescent="0.25">
      <c r="A30" s="10"/>
      <c r="B30" s="3"/>
      <c r="C30" s="3"/>
      <c r="D30" s="3"/>
      <c r="E30" s="3"/>
      <c r="F30" s="3"/>
      <c r="G30" s="3"/>
      <c r="H30" s="3"/>
      <c r="I30" s="3"/>
      <c r="J30" s="3"/>
      <c r="K30" s="3"/>
      <c r="L30" s="3"/>
      <c r="M30" s="3"/>
    </row>
    <row r="31" spans="1:14" x14ac:dyDescent="0.25">
      <c r="A31" s="10"/>
      <c r="B31" s="3"/>
      <c r="C31" s="3"/>
      <c r="D31" s="3"/>
      <c r="E31" s="3"/>
      <c r="F31" s="3"/>
      <c r="G31" s="3"/>
      <c r="H31" s="3"/>
      <c r="I31" s="3"/>
      <c r="J31" s="3"/>
      <c r="K31" s="3"/>
      <c r="L31" s="3"/>
      <c r="M31" s="3"/>
    </row>
    <row r="32" spans="1:14" x14ac:dyDescent="0.25">
      <c r="A32" s="16"/>
      <c r="B32" s="15"/>
      <c r="C32" s="15"/>
      <c r="D32" s="15"/>
      <c r="E32" s="15"/>
      <c r="F32" s="15"/>
      <c r="G32" s="15"/>
      <c r="H32" s="15"/>
      <c r="I32" s="15"/>
      <c r="J32" s="15"/>
      <c r="K32" s="15"/>
      <c r="L32" s="15"/>
      <c r="M32" s="15"/>
      <c r="N32" s="15"/>
    </row>
    <row r="33" spans="1:14" x14ac:dyDescent="0.25">
      <c r="A33" s="16"/>
      <c r="B33" s="15"/>
      <c r="C33" s="15"/>
      <c r="D33" s="15"/>
      <c r="E33" s="15"/>
      <c r="F33" s="15"/>
      <c r="G33" s="15"/>
      <c r="H33" s="15"/>
      <c r="I33" s="15"/>
      <c r="J33" s="15"/>
      <c r="K33" s="15"/>
      <c r="L33" s="15"/>
      <c r="M33" s="15"/>
      <c r="N33" s="15"/>
    </row>
    <row r="34" spans="1:14" x14ac:dyDescent="0.25">
      <c r="A34" s="16"/>
      <c r="B34" s="15"/>
      <c r="C34" s="15"/>
      <c r="D34" s="15"/>
      <c r="E34" s="15"/>
      <c r="F34" s="15"/>
      <c r="G34" s="15"/>
      <c r="H34" s="15"/>
      <c r="I34" s="15"/>
      <c r="J34" s="15"/>
      <c r="K34" s="15"/>
      <c r="L34" s="15"/>
      <c r="M34" s="15"/>
      <c r="N34" s="15"/>
    </row>
    <row r="35" spans="1:14" x14ac:dyDescent="0.25">
      <c r="A35" s="16"/>
      <c r="B35" s="15"/>
      <c r="C35" s="15"/>
      <c r="D35" s="15"/>
      <c r="E35" s="15"/>
      <c r="F35" s="15"/>
      <c r="G35" s="15"/>
      <c r="H35" s="15"/>
      <c r="I35" s="15"/>
      <c r="J35" s="15"/>
      <c r="K35" s="15"/>
      <c r="L35" s="15"/>
      <c r="M35" s="15"/>
      <c r="N35" s="15"/>
    </row>
    <row r="36" spans="1:14" x14ac:dyDescent="0.25">
      <c r="A36" s="16"/>
      <c r="B36" s="15"/>
      <c r="C36" s="15"/>
      <c r="D36" s="15"/>
      <c r="E36" s="15"/>
      <c r="F36" s="15"/>
      <c r="G36" s="15"/>
      <c r="H36" s="15"/>
      <c r="I36" s="15"/>
      <c r="J36" s="15"/>
      <c r="K36" s="15"/>
      <c r="L36" s="15"/>
      <c r="M36" s="15"/>
      <c r="N36" s="15"/>
    </row>
    <row r="37" spans="1:14" x14ac:dyDescent="0.25">
      <c r="A37" s="15"/>
      <c r="B37" s="15"/>
      <c r="C37" s="15"/>
      <c r="D37" s="15"/>
      <c r="E37" s="15"/>
      <c r="F37" s="15"/>
      <c r="G37" s="15"/>
      <c r="H37" s="15"/>
      <c r="I37" s="15"/>
      <c r="J37" s="15"/>
      <c r="K37" s="15"/>
      <c r="L37" s="15"/>
      <c r="M37" s="15"/>
      <c r="N37" s="15"/>
    </row>
    <row r="38" spans="1:14" x14ac:dyDescent="0.25">
      <c r="A38" s="15"/>
      <c r="B38" s="15"/>
      <c r="C38" s="15"/>
      <c r="D38" s="15"/>
      <c r="E38" s="15"/>
      <c r="F38" s="15"/>
      <c r="G38" s="15"/>
      <c r="H38" s="15"/>
      <c r="I38" s="15"/>
      <c r="J38" s="15"/>
      <c r="K38" s="15"/>
      <c r="L38" s="15"/>
      <c r="M38" s="15"/>
      <c r="N38" s="15"/>
    </row>
    <row r="39" spans="1:14" x14ac:dyDescent="0.25">
      <c r="B39" s="15"/>
      <c r="C39" s="15"/>
      <c r="D39" s="15"/>
      <c r="E39" s="15"/>
      <c r="F39" s="15"/>
      <c r="G39" s="15"/>
      <c r="H39" s="15"/>
      <c r="I39" s="15"/>
      <c r="J39" s="15"/>
      <c r="K39" s="15"/>
      <c r="L39" s="15"/>
      <c r="M39" s="15"/>
      <c r="N39" s="15"/>
    </row>
    <row r="40" spans="1:14" x14ac:dyDescent="0.25">
      <c r="B40" s="15"/>
      <c r="C40" s="15"/>
      <c r="D40" s="15"/>
      <c r="E40" s="15"/>
      <c r="F40" s="15"/>
      <c r="G40" s="15"/>
      <c r="H40" s="15"/>
      <c r="I40" s="15"/>
      <c r="J40" s="15"/>
      <c r="K40" s="15"/>
      <c r="L40" s="15"/>
      <c r="M40" s="15"/>
      <c r="N40" s="15"/>
    </row>
    <row r="41" spans="1:14" x14ac:dyDescent="0.25">
      <c r="B41" s="15"/>
      <c r="C41" s="15"/>
      <c r="D41" s="15"/>
      <c r="E41" s="15"/>
      <c r="F41" s="15"/>
      <c r="G41" s="15"/>
      <c r="H41" s="15"/>
      <c r="I41" s="15"/>
      <c r="J41" s="15"/>
      <c r="K41" s="15"/>
      <c r="L41" s="15"/>
      <c r="M41" s="15"/>
      <c r="N41" s="15"/>
    </row>
  </sheetData>
  <mergeCells count="2">
    <mergeCell ref="A1:M1"/>
    <mergeCell ref="A2:M2"/>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AF0239-431C-45AC-AE62-71C43ACC1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washif khan</dc:creator>
  <cp:lastModifiedBy>washif khan</cp:lastModifiedBy>
  <cp:lastPrinted>2026-09-07T01:25:59Z</cp:lastPrinted>
  <dcterms:created xsi:type="dcterms:W3CDTF">2026-09-06T02:02:49Z</dcterms:created>
  <dcterms:modified xsi:type="dcterms:W3CDTF">2026-09-07T01:27:08Z</dcterms:modified>
</cp:coreProperties>
</file>